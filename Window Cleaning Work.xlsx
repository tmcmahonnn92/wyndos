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schedule" sheetId="1" r:id="rId4"/>
    <sheet state="visible" name="langold" sheetId="2" r:id="rId5"/>
    <sheet state="visible" name="Model way" sheetId="3" r:id="rId6"/>
    <sheet state="visible" name="RogersPortland" sheetId="4" r:id="rId7"/>
    <sheet state="visible" name="Creswell" sheetId="5" r:id="rId8"/>
    <sheet state="visible" name="Elmton rd" sheetId="6" r:id="rId9"/>
    <sheet state="visible" name="Bolsover and Clowne" sheetId="7" r:id="rId10"/>
    <sheet state="visible" name="edwinstowe" sheetId="8" r:id="rId11"/>
    <sheet state="visible" name="welbeck and norton" sheetId="9" r:id="rId12"/>
    <sheet state="visible" name="gatefordhemmingfield" sheetId="10" r:id="rId13"/>
    <sheet state="visible" name="Rhodesiacarlton rd" sheetId="11" r:id="rId14"/>
    <sheet state="visible" name="dale close" sheetId="12" r:id="rId15"/>
    <sheet state="visible" name="notes " sheetId="13" r:id="rId16"/>
  </sheets>
  <definedNames/>
  <calcPr/>
</workbook>
</file>

<file path=xl/sharedStrings.xml><?xml version="1.0" encoding="utf-8"?>
<sst xmlns="http://schemas.openxmlformats.org/spreadsheetml/2006/main" count="1392" uniqueCount="382">
  <si>
    <t>Day 1</t>
  </si>
  <si>
    <t>langold tuxford retford</t>
  </si>
  <si>
    <t xml:space="preserve">Day 2 </t>
  </si>
  <si>
    <t>model view</t>
  </si>
  <si>
    <t>Day 3</t>
  </si>
  <si>
    <t>rogers and portland</t>
  </si>
  <si>
    <t>West st, sherwood, eyre, skinner</t>
  </si>
  <si>
    <t>Day 4</t>
  </si>
  <si>
    <t>elmton rd frithwood</t>
  </si>
  <si>
    <t xml:space="preserve">Day 5 </t>
  </si>
  <si>
    <t>bolsover, clowne, langwith</t>
  </si>
  <si>
    <t xml:space="preserve">Day 6 </t>
  </si>
  <si>
    <t>Perlthorpe, edwinstowe, cuckney</t>
  </si>
  <si>
    <t xml:space="preserve">Day 7 </t>
  </si>
  <si>
    <t xml:space="preserve">Welbeck </t>
  </si>
  <si>
    <t xml:space="preserve">Day 8 </t>
  </si>
  <si>
    <t xml:space="preserve">carlton rd, rhodesia </t>
  </si>
  <si>
    <t xml:space="preserve">Day 9 </t>
  </si>
  <si>
    <t>gateford, thievesdale</t>
  </si>
  <si>
    <t xml:space="preserve">after price rise proposed </t>
  </si>
  <si>
    <t>new prices (proposed)</t>
  </si>
  <si>
    <t>Address</t>
  </si>
  <si>
    <t>Cost</t>
  </si>
  <si>
    <t>Frequency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</si>
  <si>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</si>
  <si>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</si>
  <si>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</si>
  <si>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</si>
  <si>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</si>
  <si>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</si>
  <si>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</si>
  <si>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</si>
  <si>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</si>
  <si>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</si>
  <si>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</si>
  <si>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</si>
  <si>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68 riddel</t>
  </si>
  <si>
    <t>4 weeks</t>
  </si>
  <si>
    <t>owing</t>
  </si>
  <si>
    <t>skipped</t>
  </si>
  <si>
    <t>15 markham langold</t>
  </si>
  <si>
    <t>paid</t>
  </si>
  <si>
    <t>6 cross street</t>
  </si>
  <si>
    <t>31 church st langold</t>
  </si>
  <si>
    <t>33 church st langold</t>
  </si>
  <si>
    <t>12 church st langold</t>
  </si>
  <si>
    <t>7 main st oldcotes</t>
  </si>
  <si>
    <t>roche house oldcotes</t>
  </si>
  <si>
    <t>8 weeks</t>
  </si>
  <si>
    <t>gildingwells farm</t>
  </si>
  <si>
    <t>86 lincoln rd tuxford</t>
  </si>
  <si>
    <t>14b gilbert ave tuxford</t>
  </si>
  <si>
    <t>15 machin tuxford</t>
  </si>
  <si>
    <t>17 machin tuxford</t>
  </si>
  <si>
    <t>19 machin tuxford</t>
  </si>
  <si>
    <t>25 machin tuxford</t>
  </si>
  <si>
    <t>kennels tuxford</t>
  </si>
  <si>
    <t>salon tuxford</t>
  </si>
  <si>
    <t>goosemore house</t>
  </si>
  <si>
    <t>church view (behind millionhaires) tuxford</t>
  </si>
  <si>
    <t>retford paving</t>
  </si>
  <si>
    <t>18 lowfields retford</t>
  </si>
  <si>
    <t>old vicarage blyth</t>
  </si>
  <si>
    <t xml:space="preserve">botany bay farm </t>
  </si>
  <si>
    <t>White cottage budby</t>
  </si>
  <si>
    <t>Creswell - Model Lane</t>
  </si>
  <si>
    <t>fronts</t>
  </si>
  <si>
    <t>Creswell - Model View</t>
  </si>
  <si>
    <t>Creswell - Fox Street</t>
  </si>
  <si>
    <t>Fox Lane</t>
  </si>
  <si>
    <t>Creswell - Colliery Street</t>
  </si>
  <si>
    <t>colliery way</t>
  </si>
  <si>
    <t>elmton way</t>
  </si>
  <si>
    <t>1 Rogers AVE</t>
  </si>
  <si>
    <t xml:space="preserve">fronts </t>
  </si>
  <si>
    <t>3 Rogers ave</t>
  </si>
  <si>
    <t>5 Rogers AVE</t>
  </si>
  <si>
    <t>9 Rogers AVE</t>
  </si>
  <si>
    <t>11 Rogers AVE</t>
  </si>
  <si>
    <t>13 Rogers AVE</t>
  </si>
  <si>
    <t>15 Rogers AVE</t>
  </si>
  <si>
    <t>17 Rogers AVE</t>
  </si>
  <si>
    <t>19 Rogers AVE</t>
  </si>
  <si>
    <t>21 Rogers AVE</t>
  </si>
  <si>
    <t>25 Rogers AVE</t>
  </si>
  <si>
    <t>29 Rogers AVE</t>
  </si>
  <si>
    <t>31 Rogers ave</t>
  </si>
  <si>
    <t>33 Rogers AVE</t>
  </si>
  <si>
    <t>37 Rogers 10</t>
  </si>
  <si>
    <t>39 Rogers AVE</t>
  </si>
  <si>
    <t>2 Rogers AVE</t>
  </si>
  <si>
    <t>6 Rogers AVE</t>
  </si>
  <si>
    <t>14 Rogers AVE</t>
  </si>
  <si>
    <t>18 Rogers AVE</t>
  </si>
  <si>
    <t>20 Rogers AVE</t>
  </si>
  <si>
    <t>24 rogers</t>
  </si>
  <si>
    <t>26 Rogers AVE</t>
  </si>
  <si>
    <t>28 Rogers AVE</t>
  </si>
  <si>
    <t>30 Rogers AVE</t>
  </si>
  <si>
    <t>32 Rogers AVE</t>
  </si>
  <si>
    <t>34 Rogers AVE</t>
  </si>
  <si>
    <t>42a Rogers AVE</t>
  </si>
  <si>
    <t>40 portland</t>
  </si>
  <si>
    <t>48 Portland</t>
  </si>
  <si>
    <t>50 portland</t>
  </si>
  <si>
    <t>54 portland ave</t>
  </si>
  <si>
    <t>66 portland</t>
  </si>
  <si>
    <t>70 portland</t>
  </si>
  <si>
    <t>74 portland</t>
  </si>
  <si>
    <t>76 portland</t>
  </si>
  <si>
    <t>82 portland</t>
  </si>
  <si>
    <t>84 portland</t>
  </si>
  <si>
    <t>39 portland</t>
  </si>
  <si>
    <t>41 portland</t>
  </si>
  <si>
    <t>55 portland</t>
  </si>
  <si>
    <t>57 portland</t>
  </si>
  <si>
    <t>59 portland</t>
  </si>
  <si>
    <t>61 portland</t>
  </si>
  <si>
    <t>65 portland</t>
  </si>
  <si>
    <t>5 Sherwood AVE</t>
  </si>
  <si>
    <t>7 Sherwood AVE</t>
  </si>
  <si>
    <t>15 Sherwood AVE</t>
  </si>
  <si>
    <t>2 Sherwood AVE</t>
  </si>
  <si>
    <t>6 Sherwood AVE</t>
  </si>
  <si>
    <t>16 Sherwood AVE</t>
  </si>
  <si>
    <t>28 Sherwood AVE</t>
  </si>
  <si>
    <t>30 Sherwood AVE</t>
  </si>
  <si>
    <t>34 Sherwood AVE</t>
  </si>
  <si>
    <t>36 Sherwood AVE</t>
  </si>
  <si>
    <t>4 west st</t>
  </si>
  <si>
    <t>6 west st</t>
  </si>
  <si>
    <t>8 west st</t>
  </si>
  <si>
    <t>30 west st</t>
  </si>
  <si>
    <t>62 west st</t>
  </si>
  <si>
    <t>64 west st</t>
  </si>
  <si>
    <t>29 west st</t>
  </si>
  <si>
    <t>31 west st</t>
  </si>
  <si>
    <t>37 west st</t>
  </si>
  <si>
    <t>39 west st</t>
  </si>
  <si>
    <t>1 eyre st</t>
  </si>
  <si>
    <t>11  eyre st</t>
  </si>
  <si>
    <t>21 eyre st</t>
  </si>
  <si>
    <t>10  eyre st</t>
  </si>
  <si>
    <t>6 tennyson ave</t>
  </si>
  <si>
    <t>10 tennyson ave</t>
  </si>
  <si>
    <t>64 skinner st</t>
  </si>
  <si>
    <t>70 skinner st</t>
  </si>
  <si>
    <t>67 skinner st</t>
  </si>
  <si>
    <t>77 skinner st</t>
  </si>
  <si>
    <t>4 Cavendish</t>
  </si>
  <si>
    <t>11 Devonshire drive</t>
  </si>
  <si>
    <t>10 Devonshire drive</t>
  </si>
  <si>
    <t>8 Devonshire drive</t>
  </si>
  <si>
    <t>10 beely close</t>
  </si>
  <si>
    <t>21 elmton rd</t>
  </si>
  <si>
    <t>23 elmton rd</t>
  </si>
  <si>
    <t>65a elmton rd bluebell bungalow</t>
  </si>
  <si>
    <t>162 elmton rd</t>
  </si>
  <si>
    <t>166 elmton rd</t>
  </si>
  <si>
    <t>168 elmton rd</t>
  </si>
  <si>
    <t>170 elmton rd</t>
  </si>
  <si>
    <t>176 elmton rd</t>
  </si>
  <si>
    <t>178 elmton rd</t>
  </si>
  <si>
    <t>186 elmton rd</t>
  </si>
  <si>
    <t>194 elmton rd</t>
  </si>
  <si>
    <t>198 elmton rd</t>
  </si>
  <si>
    <t>224 elmton rd</t>
  </si>
  <si>
    <t>234 elmton rd</t>
  </si>
  <si>
    <t>240 elmton rd</t>
  </si>
  <si>
    <t>Woodburn bungalow Elton rd</t>
  </si>
  <si>
    <t>Zetland house elmton rd</t>
  </si>
  <si>
    <t>246 elmton rd</t>
  </si>
  <si>
    <t>250 elmton rd</t>
  </si>
  <si>
    <t>254 elmton rd</t>
  </si>
  <si>
    <t>256 elmton rd</t>
  </si>
  <si>
    <t>282 elmton rd</t>
  </si>
  <si>
    <t>6 elmton close</t>
  </si>
  <si>
    <t>8 elmton close</t>
  </si>
  <si>
    <t>Bungalow elmton close</t>
  </si>
  <si>
    <t>24 elmton close</t>
  </si>
  <si>
    <t>28 elmton close</t>
  </si>
  <si>
    <t>30 elmton close</t>
  </si>
  <si>
    <t>32 elmton close</t>
  </si>
  <si>
    <t>21 elmton close</t>
  </si>
  <si>
    <t>2 bulivant AVE</t>
  </si>
  <si>
    <t>Frithwood farm cottage</t>
  </si>
  <si>
    <t>frithwood house (white)</t>
  </si>
  <si>
    <t>stables frithwood</t>
  </si>
  <si>
    <t>mistal barn</t>
  </si>
  <si>
    <t>1 Highfield</t>
  </si>
  <si>
    <t>3 Highfield</t>
  </si>
  <si>
    <t>5 Highfield</t>
  </si>
  <si>
    <t>7 Highfield</t>
  </si>
  <si>
    <t>9 Highfield</t>
  </si>
  <si>
    <t>11 Highfield</t>
  </si>
  <si>
    <t>15 Highfield</t>
  </si>
  <si>
    <t>17 Highfield</t>
  </si>
  <si>
    <t>6 Highfield</t>
  </si>
  <si>
    <t>8 Highfield</t>
  </si>
  <si>
    <t>14 brookfield</t>
  </si>
  <si>
    <t>10 Brookfield</t>
  </si>
  <si>
    <t>11a searson</t>
  </si>
  <si>
    <t>8 searson</t>
  </si>
  <si>
    <t>63 houfton</t>
  </si>
  <si>
    <t>34 northfields</t>
  </si>
  <si>
    <t>38 Northfields</t>
  </si>
  <si>
    <t>87 high street clowne</t>
  </si>
  <si>
    <t>85 high street clowne</t>
  </si>
  <si>
    <t>pink houses clowne</t>
  </si>
  <si>
    <t>1 old hall langwith</t>
  </si>
  <si>
    <t>2 old hall</t>
  </si>
  <si>
    <t>3 old hall</t>
  </si>
  <si>
    <t>big house langwith</t>
  </si>
  <si>
    <t>mark and rachels</t>
  </si>
  <si>
    <t>Month______________________</t>
  </si>
  <si>
    <t>25 beardsley rd edwinstowe</t>
  </si>
  <si>
    <t>12 weeks</t>
  </si>
  <si>
    <t>10 beardsley rd edwinstowe</t>
  </si>
  <si>
    <t>32 first ave edwinstowe</t>
  </si>
  <si>
    <t>49 first ave edwinstowe</t>
  </si>
  <si>
    <t>92 fourth ave edwinstowe</t>
  </si>
  <si>
    <t>56 fifth ave edwinstowe</t>
  </si>
  <si>
    <t>54 fifth ave edwinstowe</t>
  </si>
  <si>
    <t>Andy knowles edwinstowe</t>
  </si>
  <si>
    <t>the kennels perlthorpe</t>
  </si>
  <si>
    <t>10 jackson hill</t>
  </si>
  <si>
    <t>8 jackson hill perlthorpe</t>
  </si>
  <si>
    <t>3 jackson hill perlthorpe</t>
  </si>
  <si>
    <t>1 whitmor cottage perlthorpe</t>
  </si>
  <si>
    <t>2 whitmor cottage perlthorpe</t>
  </si>
  <si>
    <t>bothamsall bungalow</t>
  </si>
  <si>
    <t>middlehouse bothamsall</t>
  </si>
  <si>
    <t>Meadow lodge welbeck</t>
  </si>
  <si>
    <t>4 lake view</t>
  </si>
  <si>
    <t>2 lake view</t>
  </si>
  <si>
    <t>1 lake view</t>
  </si>
  <si>
    <t>meadowside bungalow (alan bellingham)</t>
  </si>
  <si>
    <t>mallards</t>
  </si>
  <si>
    <t>mr brightman</t>
  </si>
  <si>
    <t>Walpole</t>
  </si>
  <si>
    <t>4weeks</t>
  </si>
  <si>
    <t>tea rooms</t>
  </si>
  <si>
    <t>bentink lodge</t>
  </si>
  <si>
    <t>4 lady margaret cres</t>
  </si>
  <si>
    <t>3 lady margaret cres</t>
  </si>
  <si>
    <t>2  lady margaret cres</t>
  </si>
  <si>
    <t>3 new bungalows norton</t>
  </si>
  <si>
    <t>rookeries norton</t>
  </si>
  <si>
    <t>pear tree cottage norton</t>
  </si>
  <si>
    <t>3 main st bungalow norton</t>
  </si>
  <si>
    <t>rose tree cottage</t>
  </si>
  <si>
    <t>south carr lodge</t>
  </si>
  <si>
    <t>tile kiln lodge</t>
  </si>
  <si>
    <t>crags lodge</t>
  </si>
  <si>
    <t>ganabrig lodge</t>
  </si>
  <si>
    <t>corner bungalow holbeck</t>
  </si>
  <si>
    <t>4 new bungalows holbeck</t>
  </si>
  <si>
    <t>5 new bungalows holbeck</t>
  </si>
  <si>
    <t>barleycroft holbeck</t>
  </si>
  <si>
    <t>old schoolhouse holbeck</t>
  </si>
  <si>
    <t>windy nook cuckney</t>
  </si>
  <si>
    <t>stonecroft cukney</t>
  </si>
  <si>
    <t>old bakehouse cukney</t>
  </si>
  <si>
    <t>john and jayne</t>
  </si>
  <si>
    <t>2 hemmingfield cres</t>
  </si>
  <si>
    <t>4  hemmingfield cres</t>
  </si>
  <si>
    <t>6 hemmingfield cres</t>
  </si>
  <si>
    <t>1 hemmingfield cres</t>
  </si>
  <si>
    <t>3  hemmingfield cres</t>
  </si>
  <si>
    <t>7  hemmingfield cres</t>
  </si>
  <si>
    <t>28  hemmingfield cres</t>
  </si>
  <si>
    <t>1  hemmingfield way</t>
  </si>
  <si>
    <t>8  hemmingfield road</t>
  </si>
  <si>
    <t>9 grasmere</t>
  </si>
  <si>
    <t>8 grasmere</t>
  </si>
  <si>
    <t>10 grasmere</t>
  </si>
  <si>
    <t>12 grasmere</t>
  </si>
  <si>
    <t>6 lodore rd</t>
  </si>
  <si>
    <t>8 langdale rd</t>
  </si>
  <si>
    <t>12  langdale rd</t>
  </si>
  <si>
    <t>14  langdale rd</t>
  </si>
  <si>
    <t>11  langdale rd</t>
  </si>
  <si>
    <t>13  langdale rd</t>
  </si>
  <si>
    <t>15  langdale rd</t>
  </si>
  <si>
    <t>21  langdale rd</t>
  </si>
  <si>
    <t>93 thievesdale lane</t>
  </si>
  <si>
    <t>46 kilton cres</t>
  </si>
  <si>
    <t>48 kilton cres</t>
  </si>
  <si>
    <t>15 avon way</t>
  </si>
  <si>
    <t>17 avon way</t>
  </si>
  <si>
    <t>19 avon way</t>
  </si>
  <si>
    <t>21 avon way</t>
  </si>
  <si>
    <t>23 avon way</t>
  </si>
  <si>
    <t>27 avon way</t>
  </si>
  <si>
    <t>31 avon way</t>
  </si>
  <si>
    <t>13 sheaf place</t>
  </si>
  <si>
    <t>15 sheaf place</t>
  </si>
  <si>
    <t>17 sheaf place</t>
  </si>
  <si>
    <t>19 sheaf place</t>
  </si>
  <si>
    <t>3 sheaf place</t>
  </si>
  <si>
    <t>25 nene walk</t>
  </si>
  <si>
    <t>27 nene walk</t>
  </si>
  <si>
    <t>24 nene walk</t>
  </si>
  <si>
    <t>33 nene walk</t>
  </si>
  <si>
    <t>22 peregrine court</t>
  </si>
  <si>
    <t>24  peregrine court</t>
  </si>
  <si>
    <t>26  peregrine court</t>
  </si>
  <si>
    <t>9 wren court</t>
  </si>
  <si>
    <t>2 belgravia ct</t>
  </si>
  <si>
    <t>2 robertson grove rhodesia</t>
  </si>
  <si>
    <t>2a robertson grove</t>
  </si>
  <si>
    <t>4 Robertson grove Rhodesia</t>
  </si>
  <si>
    <t>31 Robertson grove Rhodesia</t>
  </si>
  <si>
    <t>32 Robertson grove Rhodesia</t>
  </si>
  <si>
    <t>36 Robertson grove Rhodesia</t>
  </si>
  <si>
    <t>37 Robertson grove Rhodesia</t>
  </si>
  <si>
    <t>38 Robertson grove Rhodesia</t>
  </si>
  <si>
    <t>39 Robertson grove Rhodesia</t>
  </si>
  <si>
    <t>40 robertson</t>
  </si>
  <si>
    <t>41 Robertson grove Rhodesia</t>
  </si>
  <si>
    <t>2 Goranson walk Rhodesia</t>
  </si>
  <si>
    <t>22 Goranson walk Rhodesia</t>
  </si>
  <si>
    <t>13 Goranson walk Rhodesia</t>
  </si>
  <si>
    <t>9 Goranson walk Rhodesia</t>
  </si>
  <si>
    <t>54 Goranson walk Rhodesia</t>
  </si>
  <si>
    <t>1 Goranson walk Rhodesia</t>
  </si>
  <si>
    <t>2 dormer drive</t>
  </si>
  <si>
    <t>4 dormer drive</t>
  </si>
  <si>
    <t>1 dormer drive</t>
  </si>
  <si>
    <t>68 Mary Street</t>
  </si>
  <si>
    <t>5 queen Elizabeth cres</t>
  </si>
  <si>
    <t xml:space="preserve">6 eider </t>
  </si>
  <si>
    <t>1 lockside</t>
  </si>
  <si>
    <t>2 lockside</t>
  </si>
  <si>
    <t>3 lockside</t>
  </si>
  <si>
    <t>4 lockside</t>
  </si>
  <si>
    <t>233 carlton rd</t>
  </si>
  <si>
    <t>377 carlton rd</t>
  </si>
  <si>
    <t>469 carlton rd</t>
  </si>
  <si>
    <t>467 carlton rd</t>
  </si>
  <si>
    <t>457 carlton rd</t>
  </si>
  <si>
    <t>420 carlton rd</t>
  </si>
  <si>
    <t>418 carlton rd</t>
  </si>
  <si>
    <t>410 carlton rd</t>
  </si>
  <si>
    <t>28 raines ave</t>
  </si>
  <si>
    <t>42 raines ave</t>
  </si>
  <si>
    <t>44 raines ave</t>
  </si>
  <si>
    <t>59 raines</t>
  </si>
  <si>
    <t>361 carlton rd</t>
  </si>
  <si>
    <t>122 keswick</t>
  </si>
  <si>
    <t>98 keswick</t>
  </si>
  <si>
    <t>45 keswick rd</t>
  </si>
  <si>
    <t>24 keswick rd</t>
  </si>
  <si>
    <t>174 Newcastle avenue</t>
  </si>
  <si>
    <t>160 Newcastle ave</t>
  </si>
  <si>
    <t>152 Newcastle ave</t>
  </si>
  <si>
    <t>12 dale close</t>
  </si>
  <si>
    <t>14dale close</t>
  </si>
  <si>
    <t>18 dale close</t>
  </si>
  <si>
    <t>20 dale close</t>
  </si>
  <si>
    <t>13 dale close</t>
  </si>
  <si>
    <t>74 dale close</t>
  </si>
  <si>
    <t>76 dale close</t>
  </si>
  <si>
    <t>129 dale close</t>
  </si>
  <si>
    <t>132 dale close</t>
  </si>
  <si>
    <t>134 dale close</t>
  </si>
  <si>
    <t>140 dale close</t>
  </si>
  <si>
    <t>142 dale close</t>
  </si>
  <si>
    <t>137dale close</t>
  </si>
  <si>
    <t>135 dale close</t>
  </si>
  <si>
    <t>133 dale close</t>
  </si>
  <si>
    <t>119 dale close</t>
  </si>
  <si>
    <t>125 dale close</t>
  </si>
  <si>
    <t>107 dale close</t>
  </si>
  <si>
    <t>105 dale close</t>
  </si>
  <si>
    <t>69 woodlands</t>
  </si>
  <si>
    <t>72 woodlands</t>
  </si>
  <si>
    <t>1 Rogers AVE gutter inspection, clean and clear soffits fascias windows £100</t>
  </si>
  <si>
    <t xml:space="preserve">17 cemetery </t>
  </si>
  <si>
    <t>9 season £14 quote .</t>
  </si>
  <si>
    <t>Joanne Holme farm Holbeck £23</t>
  </si>
  <si>
    <t>15 Robertson £12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</si>
</sst>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mmm/d"/>
    <numFmt numFmtId="166" formatCode="&quot;£&quot;#,##0.00"/>
    <numFmt numFmtId="167" formatCode="&quot;£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2" numFmtId="0" xfId="0" applyFont="1"/>
    <xf borderId="0" fillId="0" fontId="4" numFmtId="166" xfId="0" applyAlignment="1" applyFont="1" applyNumberFormat="1">
      <alignment horizontal="right" vertical="bottom"/>
    </xf>
    <xf borderId="0" fillId="4" fontId="2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readingOrder="0"/>
    </xf>
    <xf borderId="0" fillId="3" fontId="2" numFmtId="0" xfId="0" applyFont="1"/>
    <xf borderId="0" fillId="0" fontId="2" numFmtId="166" xfId="0" applyFont="1" applyNumberFormat="1"/>
    <xf borderId="0" fillId="5" fontId="4" numFmtId="0" xfId="0" applyAlignment="1" applyFill="1" applyFont="1">
      <alignment readingOrder="0" vertical="bottom"/>
    </xf>
    <xf borderId="0" fillId="5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3" fontId="4" numFmtId="166" xfId="0" applyAlignment="1" applyFont="1" applyNumberFormat="1">
      <alignment horizontal="right" vertical="bottom"/>
    </xf>
    <xf borderId="0" fillId="3" fontId="4" numFmtId="166" xfId="0" applyAlignment="1" applyFont="1" applyNumberFormat="1">
      <alignment horizontal="right" readingOrder="0" vertical="bottom"/>
    </xf>
    <xf borderId="0" fillId="3" fontId="2" numFmtId="166" xfId="0" applyFont="1" applyNumberFormat="1"/>
    <xf borderId="0" fillId="0" fontId="4" numFmtId="166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2">
      <c r="A2" s="1" t="s">
        <v>0</v>
      </c>
    </row>
    <row r="3">
      <c r="A3" s="2" t="s">
        <v>1</v>
      </c>
      <c r="B3" s="3">
        <f>langold!B29</f>
        <v>434</v>
      </c>
    </row>
    <row r="4">
      <c r="B4" s="3"/>
    </row>
    <row r="5">
      <c r="A5" s="1" t="s">
        <v>2</v>
      </c>
      <c r="B5" s="3"/>
    </row>
    <row r="6">
      <c r="A6" s="2" t="s">
        <v>3</v>
      </c>
      <c r="B6" s="3">
        <f>'Model way'!B43</f>
        <v>305</v>
      </c>
    </row>
    <row r="7">
      <c r="B7" s="3"/>
    </row>
    <row r="8">
      <c r="A8" s="1" t="s">
        <v>4</v>
      </c>
      <c r="B8" s="3"/>
    </row>
    <row r="9">
      <c r="A9" s="2" t="s">
        <v>5</v>
      </c>
      <c r="B9" s="3">
        <f>RogersPortland!B49</f>
        <v>440</v>
      </c>
    </row>
    <row r="10">
      <c r="B10" s="3"/>
    </row>
    <row r="11">
      <c r="A11" s="1" t="s">
        <v>4</v>
      </c>
      <c r="B11" s="3"/>
    </row>
    <row r="12">
      <c r="A12" s="2" t="s">
        <v>6</v>
      </c>
      <c r="B12" s="3">
        <f>Creswell!B39</f>
        <v>317</v>
      </c>
    </row>
    <row r="13">
      <c r="B13" s="3"/>
    </row>
    <row r="14">
      <c r="A14" s="1" t="s">
        <v>7</v>
      </c>
      <c r="B14" s="3"/>
    </row>
    <row r="15">
      <c r="A15" s="2" t="s">
        <v>8</v>
      </c>
      <c r="B15" s="3">
        <f>'Elmton rd'!B43</f>
        <v>483</v>
      </c>
    </row>
    <row r="16">
      <c r="B16" s="3"/>
    </row>
    <row r="17">
      <c r="A17" s="1" t="s">
        <v>9</v>
      </c>
      <c r="B17" s="3"/>
    </row>
    <row r="18">
      <c r="A18" s="2" t="s">
        <v>10</v>
      </c>
      <c r="B18" s="3">
        <f>'Bolsover and Clowne'!B28</f>
        <v>346</v>
      </c>
    </row>
    <row r="19">
      <c r="B19" s="3"/>
    </row>
    <row r="20">
      <c r="A20" s="1" t="s">
        <v>11</v>
      </c>
      <c r="B20" s="3"/>
    </row>
    <row r="21">
      <c r="A21" s="2" t="s">
        <v>12</v>
      </c>
      <c r="B21" s="3">
        <f>edwinstowe!B20</f>
        <v>232</v>
      </c>
    </row>
    <row r="22">
      <c r="B22" s="3"/>
    </row>
    <row r="23">
      <c r="A23" s="1" t="s">
        <v>13</v>
      </c>
      <c r="B23" s="3"/>
    </row>
    <row r="24">
      <c r="A24" s="2" t="s">
        <v>14</v>
      </c>
      <c r="B24" s="3">
        <f>'welbeck and norton'!B36</f>
        <v>450</v>
      </c>
    </row>
    <row r="25">
      <c r="B25" s="3"/>
    </row>
    <row r="26">
      <c r="A26" s="1" t="s">
        <v>15</v>
      </c>
      <c r="B26" s="3"/>
    </row>
    <row r="27">
      <c r="A27" s="2" t="s">
        <v>16</v>
      </c>
      <c r="B27" s="3">
        <f>'welbeck and norton'!B36</f>
        <v>450</v>
      </c>
    </row>
    <row r="28">
      <c r="B28" s="3"/>
    </row>
    <row r="29">
      <c r="A29" s="1" t="s">
        <v>17</v>
      </c>
      <c r="B29" s="3"/>
    </row>
    <row r="30">
      <c r="A30" s="2" t="s">
        <v>18</v>
      </c>
      <c r="B30" s="3">
        <f>'Rhodesiacarlton rd'!B50</f>
        <v>513</v>
      </c>
    </row>
    <row r="32">
      <c r="A32" s="1"/>
    </row>
    <row r="34">
      <c r="B34" s="3">
        <f>sum(B3:B30)</f>
        <v>3970</v>
      </c>
    </row>
    <row r="36">
      <c r="A36" s="4" t="s">
        <v>19</v>
      </c>
      <c r="B36" s="5"/>
    </row>
    <row r="37">
      <c r="A37" s="5"/>
      <c r="B37" s="6">
        <f>sum(langold!Q29,'Model way'!Q43,RogersPortland!Q49,Creswell!Q33,'Elmton rd'!Q43,'Bolsover and Clowne'!Q29,edwinstowe!Q20,'welbeck and norton'!Q36,'Rhodesiacarlton rd'!Q51,gatefordhemmingfield!Q50)</f>
        <v>4394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4" max="4" width="9.75"/>
    <col customWidth="1" min="5" max="5" width="5.5"/>
    <col customWidth="1" min="6" max="6" width="5.38"/>
    <col customWidth="1" min="7" max="7" width="4.63"/>
    <col customWidth="1" min="8" max="8" width="5.63"/>
    <col customWidth="1" min="9" max="10" width="4.63"/>
    <col customWidth="1" min="11" max="11" width="5.38"/>
    <col customWidth="1" min="12" max="12" width="6.5"/>
    <col customWidth="1" min="13" max="13" width="5.13"/>
    <col customWidth="1" min="14" max="14" width="6.13"/>
    <col customWidth="1" min="15" max="15" width="4.88"/>
    <col customWidth="1" min="16" max="16" width="5.5"/>
    <col customWidth="1" min="17" max="17" width="17.25"/>
  </cols>
  <sheetData>
    <row r="1">
      <c r="A1" s="7"/>
      <c r="B1" s="1"/>
      <c r="C1" s="1"/>
      <c r="D1" s="1"/>
      <c r="E1" s="1"/>
      <c r="F1" s="1"/>
      <c r="G1" s="1"/>
      <c r="Q1" s="8" t="s">
        <v>20</v>
      </c>
    </row>
    <row r="2">
      <c r="A2" s="7" t="s">
        <v>21</v>
      </c>
      <c r="B2" s="1" t="s">
        <v>22</v>
      </c>
      <c r="C2" s="1" t="s">
        <v>23</v>
      </c>
      <c r="D2" s="9">
        <v>45650.0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0"/>
    </row>
    <row r="3">
      <c r="A3" s="2" t="s">
        <v>36</v>
      </c>
      <c r="B3" s="11">
        <v>20.0</v>
      </c>
      <c r="C3" s="12" t="s">
        <v>37</v>
      </c>
      <c r="D3" s="2" t="s">
        <v>38</v>
      </c>
      <c r="E3" s="2" t="s">
        <v>39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2"/>
      <c r="Q3" s="8">
        <v>20.0</v>
      </c>
    </row>
    <row r="4">
      <c r="A4" s="12" t="s">
        <v>40</v>
      </c>
      <c r="B4" s="14">
        <v>15.0</v>
      </c>
      <c r="C4" s="12" t="s">
        <v>37</v>
      </c>
      <c r="D4" s="2" t="s">
        <v>41</v>
      </c>
      <c r="E4" s="2" t="s">
        <v>41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8">
        <v>17.0</v>
      </c>
    </row>
    <row r="5">
      <c r="A5" s="12" t="s">
        <v>42</v>
      </c>
      <c r="B5" s="14">
        <v>11.0</v>
      </c>
      <c r="C5" s="12" t="s">
        <v>37</v>
      </c>
      <c r="D5" s="2" t="s">
        <v>39</v>
      </c>
      <c r="E5" s="2" t="s">
        <v>38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8">
        <v>12.0</v>
      </c>
    </row>
    <row r="6">
      <c r="A6" s="12" t="s">
        <v>43</v>
      </c>
      <c r="B6" s="14">
        <v>14.0</v>
      </c>
      <c r="C6" s="12" t="s">
        <v>37</v>
      </c>
      <c r="D6" s="2" t="s">
        <v>41</v>
      </c>
      <c r="E6" s="2" t="s">
        <v>41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2"/>
      <c r="Q6" s="8">
        <v>15.0</v>
      </c>
    </row>
    <row r="7">
      <c r="A7" s="12" t="s">
        <v>44</v>
      </c>
      <c r="B7" s="14">
        <v>12.0</v>
      </c>
      <c r="C7" s="12" t="s">
        <v>37</v>
      </c>
      <c r="D7" s="2" t="s">
        <v>41</v>
      </c>
      <c r="E7" s="2" t="s">
        <v>41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2"/>
      <c r="Q7" s="8">
        <v>12.0</v>
      </c>
    </row>
    <row r="8">
      <c r="A8" s="12" t="s">
        <v>45</v>
      </c>
      <c r="B8" s="14">
        <v>10.0</v>
      </c>
      <c r="C8" s="12" t="s">
        <v>37</v>
      </c>
      <c r="D8" s="2" t="s">
        <v>41</v>
      </c>
      <c r="E8" s="2" t="s">
        <v>41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2"/>
      <c r="Q8" s="8">
        <v>12.0</v>
      </c>
    </row>
    <row r="9">
      <c r="A9" s="12" t="s">
        <v>46</v>
      </c>
      <c r="B9" s="14">
        <v>17.0</v>
      </c>
      <c r="C9" s="12" t="s">
        <v>37</v>
      </c>
      <c r="D9" s="2" t="s">
        <v>41</v>
      </c>
      <c r="E9" s="2" t="s">
        <v>41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2"/>
      <c r="Q9" s="15">
        <v>19.0</v>
      </c>
    </row>
    <row r="10">
      <c r="A10" s="12" t="s">
        <v>47</v>
      </c>
      <c r="B10" s="14">
        <v>20.0</v>
      </c>
      <c r="C10" s="16" t="s">
        <v>48</v>
      </c>
      <c r="D10" s="2" t="s">
        <v>41</v>
      </c>
      <c r="E10" s="2" t="s">
        <v>39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2"/>
      <c r="Q10" s="8">
        <v>22.0</v>
      </c>
    </row>
    <row r="11">
      <c r="A11" s="17" t="s">
        <v>49</v>
      </c>
      <c r="B11" s="14">
        <v>40.0</v>
      </c>
      <c r="C11" s="16" t="s">
        <v>37</v>
      </c>
      <c r="D11" s="2" t="s">
        <v>41</v>
      </c>
      <c r="E11" s="2" t="s">
        <v>39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45.0</v>
      </c>
    </row>
    <row r="12">
      <c r="A12" s="12" t="s">
        <v>50</v>
      </c>
      <c r="B12" s="14">
        <v>14.0</v>
      </c>
      <c r="C12" s="12" t="s">
        <v>37</v>
      </c>
      <c r="D12" s="2" t="s">
        <v>41</v>
      </c>
      <c r="E12" s="2" t="s">
        <v>41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16.0</v>
      </c>
    </row>
    <row r="13">
      <c r="A13" s="12" t="s">
        <v>51</v>
      </c>
      <c r="B13" s="14">
        <v>10.0</v>
      </c>
      <c r="C13" s="12" t="s">
        <v>37</v>
      </c>
      <c r="D13" s="2" t="s">
        <v>41</v>
      </c>
      <c r="E13" s="2" t="s">
        <v>41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10.0</v>
      </c>
    </row>
    <row r="14">
      <c r="A14" s="12" t="s">
        <v>52</v>
      </c>
      <c r="B14" s="14">
        <v>15.0</v>
      </c>
      <c r="C14" s="12" t="s">
        <v>37</v>
      </c>
      <c r="D14" s="2" t="s">
        <v>41</v>
      </c>
      <c r="E14" s="2" t="s">
        <v>41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17.0</v>
      </c>
    </row>
    <row r="15">
      <c r="A15" s="12" t="s">
        <v>53</v>
      </c>
      <c r="B15" s="14">
        <v>12.0</v>
      </c>
      <c r="C15" s="12" t="s">
        <v>37</v>
      </c>
      <c r="D15" s="2" t="s">
        <v>41</v>
      </c>
      <c r="E15" s="2" t="s">
        <v>41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13.0</v>
      </c>
    </row>
    <row r="16">
      <c r="A16" s="12" t="s">
        <v>54</v>
      </c>
      <c r="B16" s="14">
        <v>10.0</v>
      </c>
      <c r="C16" s="12" t="s">
        <v>37</v>
      </c>
      <c r="D16" s="2" t="s">
        <v>41</v>
      </c>
      <c r="E16" s="2" t="s">
        <v>38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12.0</v>
      </c>
    </row>
    <row r="17">
      <c r="A17" s="12" t="s">
        <v>55</v>
      </c>
      <c r="B17" s="14">
        <v>10.0</v>
      </c>
      <c r="C17" s="12" t="s">
        <v>37</v>
      </c>
      <c r="D17" s="2" t="s">
        <v>41</v>
      </c>
      <c r="E17" s="2" t="s">
        <v>41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12.0</v>
      </c>
    </row>
    <row r="18">
      <c r="A18" s="12" t="s">
        <v>56</v>
      </c>
      <c r="B18" s="14">
        <v>20.0</v>
      </c>
      <c r="C18" s="12" t="s">
        <v>37</v>
      </c>
      <c r="D18" s="2" t="s">
        <v>41</v>
      </c>
      <c r="E18" s="2" t="s">
        <v>41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20.0</v>
      </c>
    </row>
    <row r="19">
      <c r="A19" s="12" t="s">
        <v>57</v>
      </c>
      <c r="B19" s="14">
        <v>7.0</v>
      </c>
      <c r="C19" s="12" t="s">
        <v>37</v>
      </c>
      <c r="D19" s="2" t="s">
        <v>41</v>
      </c>
      <c r="E19" s="2" t="s">
        <v>41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7.0</v>
      </c>
    </row>
    <row r="20">
      <c r="A20" s="16" t="s">
        <v>58</v>
      </c>
      <c r="B20" s="18">
        <v>40.0</v>
      </c>
      <c r="C20" s="16" t="s">
        <v>37</v>
      </c>
      <c r="D20" s="2" t="s">
        <v>41</v>
      </c>
      <c r="E20" s="2" t="s">
        <v>38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40.0</v>
      </c>
    </row>
    <row r="21">
      <c r="A21" s="12" t="s">
        <v>59</v>
      </c>
      <c r="B21" s="14">
        <v>12.0</v>
      </c>
      <c r="C21" s="12" t="s">
        <v>37</v>
      </c>
      <c r="D21" s="2" t="s">
        <v>41</v>
      </c>
      <c r="E21" s="2" t="s">
        <v>41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12.0</v>
      </c>
    </row>
    <row r="22">
      <c r="A22" s="12" t="s">
        <v>60</v>
      </c>
      <c r="B22" s="14">
        <v>15.0</v>
      </c>
      <c r="C22" s="12" t="s">
        <v>37</v>
      </c>
      <c r="D22" s="2" t="s">
        <v>39</v>
      </c>
      <c r="E22" s="2" t="s">
        <v>41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15.0</v>
      </c>
    </row>
    <row r="23">
      <c r="A23" s="12" t="s">
        <v>61</v>
      </c>
      <c r="B23" s="14">
        <v>15.0</v>
      </c>
      <c r="C23" s="12" t="s">
        <v>37</v>
      </c>
      <c r="D23" s="2" t="s">
        <v>39</v>
      </c>
      <c r="E23" s="2" t="s">
        <v>41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15.0</v>
      </c>
    </row>
    <row r="24">
      <c r="A24" s="12" t="s">
        <v>62</v>
      </c>
      <c r="B24" s="14">
        <v>45.0</v>
      </c>
      <c r="C24" s="12" t="s">
        <v>37</v>
      </c>
      <c r="D24" s="2" t="s">
        <v>41</v>
      </c>
      <c r="E24" s="2" t="s">
        <v>39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45.0</v>
      </c>
    </row>
    <row r="25">
      <c r="A25" s="2" t="s">
        <v>63</v>
      </c>
      <c r="B25" s="19">
        <v>20.0</v>
      </c>
      <c r="C25" s="2" t="s">
        <v>37</v>
      </c>
      <c r="D25" s="2" t="s">
        <v>41</v>
      </c>
      <c r="E25" s="2" t="s">
        <v>41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20.0</v>
      </c>
    </row>
    <row r="26">
      <c r="A26" s="2" t="s">
        <v>64</v>
      </c>
      <c r="B26" s="19">
        <v>30.0</v>
      </c>
      <c r="C26" s="2" t="s">
        <v>48</v>
      </c>
      <c r="D26" s="2" t="s">
        <v>41</v>
      </c>
      <c r="E26" s="2" t="s">
        <v>39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30.0</v>
      </c>
    </row>
    <row r="27">
      <c r="Q27" s="20"/>
    </row>
    <row r="28">
      <c r="Q28" s="20"/>
    </row>
    <row r="29">
      <c r="B29" s="21">
        <f>sum(B3:B26)</f>
        <v>434</v>
      </c>
      <c r="Q29" s="20">
        <f>SUM(Q3:Q26)</f>
        <v>458</v>
      </c>
    </row>
  </sheetData>
  <dataValidations>
    <dataValidation type="list" allowBlank="1" showErrorMessage="1" sqref="D3:P26">
      <formula1>"owing,paid,skipped,0"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4" max="4" width="6.63"/>
    <col customWidth="1" min="5" max="5" width="6.0"/>
    <col customWidth="1" min="6" max="6" width="5.75"/>
    <col customWidth="1" min="7" max="7" width="6.0"/>
    <col customWidth="1" min="8" max="8" width="7.63"/>
    <col customWidth="1" min="9" max="9" width="6.5"/>
    <col customWidth="1" min="10" max="10" width="7.75"/>
    <col customWidth="1" min="11" max="11" width="5.5"/>
    <col customWidth="1" min="12" max="12" width="6.0"/>
    <col customWidth="1" min="13" max="13" width="5.88"/>
    <col customWidth="1" min="14" max="14" width="7.38"/>
    <col customWidth="1" min="15" max="15" width="6.75"/>
    <col customWidth="1" min="16" max="16" width="7.25"/>
    <col customWidth="1" min="17" max="17" width="19.13"/>
  </cols>
  <sheetData>
    <row r="2">
      <c r="A2" s="7" t="s">
        <v>21</v>
      </c>
      <c r="B2" s="1" t="s">
        <v>22</v>
      </c>
      <c r="C2" s="1" t="s">
        <v>23</v>
      </c>
      <c r="D2" s="9">
        <v>45650.0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8" t="s">
        <v>20</v>
      </c>
    </row>
    <row r="3">
      <c r="A3" s="16" t="s">
        <v>65</v>
      </c>
      <c r="D3" s="14"/>
      <c r="Q3" s="20"/>
    </row>
    <row r="4">
      <c r="A4" s="22">
        <v>2.0</v>
      </c>
      <c r="B4" s="16">
        <v>8.0</v>
      </c>
      <c r="C4" s="16">
        <v>4.0</v>
      </c>
      <c r="D4" s="18" t="s">
        <v>41</v>
      </c>
      <c r="E4" s="2" t="s">
        <v>39</v>
      </c>
      <c r="F4" s="13"/>
      <c r="G4" s="13"/>
      <c r="H4" s="2" t="s">
        <v>38</v>
      </c>
      <c r="I4" s="13"/>
      <c r="J4" s="13"/>
      <c r="K4" s="13"/>
      <c r="L4" s="13"/>
      <c r="M4" s="13"/>
      <c r="N4" s="13"/>
      <c r="O4" s="13"/>
      <c r="P4" s="13"/>
      <c r="Q4" s="8">
        <v>10.0</v>
      </c>
    </row>
    <row r="5">
      <c r="A5" s="23">
        <v>3.0</v>
      </c>
      <c r="B5" s="24">
        <v>10.0</v>
      </c>
      <c r="C5" s="16">
        <v>4.0</v>
      </c>
      <c r="D5" s="18" t="s">
        <v>41</v>
      </c>
      <c r="E5" s="2" t="s">
        <v>66</v>
      </c>
      <c r="F5" s="13"/>
      <c r="G5" s="13"/>
      <c r="H5" s="2" t="s">
        <v>38</v>
      </c>
      <c r="I5" s="13"/>
      <c r="J5" s="13"/>
      <c r="K5" s="13"/>
      <c r="L5" s="13"/>
      <c r="M5" s="13"/>
      <c r="N5" s="13"/>
      <c r="O5" s="13"/>
      <c r="P5" s="13"/>
      <c r="Q5" s="8">
        <v>10.0</v>
      </c>
    </row>
    <row r="6">
      <c r="A6" s="22">
        <v>4.0</v>
      </c>
      <c r="B6" s="16">
        <v>8.0</v>
      </c>
      <c r="C6" s="16">
        <v>4.0</v>
      </c>
      <c r="D6" s="18" t="s">
        <v>41</v>
      </c>
      <c r="E6" s="2" t="s">
        <v>41</v>
      </c>
      <c r="F6" s="13"/>
      <c r="G6" s="13"/>
      <c r="H6" s="2" t="s">
        <v>41</v>
      </c>
      <c r="I6" s="13"/>
      <c r="J6" s="13"/>
      <c r="K6" s="13"/>
      <c r="L6" s="13"/>
      <c r="M6" s="13"/>
      <c r="N6" s="13"/>
      <c r="O6" s="13"/>
      <c r="P6" s="13"/>
      <c r="Q6" s="8">
        <v>10.0</v>
      </c>
    </row>
    <row r="7">
      <c r="A7" s="23">
        <v>10.0</v>
      </c>
      <c r="B7" s="24">
        <v>12.0</v>
      </c>
      <c r="C7" s="16">
        <v>4.0</v>
      </c>
      <c r="D7" s="18" t="s">
        <v>41</v>
      </c>
      <c r="E7" s="2" t="s">
        <v>39</v>
      </c>
      <c r="F7" s="13"/>
      <c r="G7" s="13"/>
      <c r="H7" s="2" t="s">
        <v>39</v>
      </c>
      <c r="I7" s="13"/>
      <c r="J7" s="13"/>
      <c r="K7" s="13"/>
      <c r="L7" s="13"/>
      <c r="M7" s="13"/>
      <c r="N7" s="13"/>
      <c r="O7" s="13"/>
      <c r="P7" s="13"/>
      <c r="Q7" s="8">
        <v>12.0</v>
      </c>
    </row>
    <row r="8">
      <c r="A8" s="22">
        <v>11.0</v>
      </c>
      <c r="B8" s="16">
        <v>8.0</v>
      </c>
      <c r="C8" s="16">
        <v>4.0</v>
      </c>
      <c r="D8" s="18" t="s">
        <v>41</v>
      </c>
      <c r="E8" s="2" t="s">
        <v>41</v>
      </c>
      <c r="F8" s="13"/>
      <c r="G8" s="13"/>
      <c r="H8" s="2" t="s">
        <v>41</v>
      </c>
      <c r="I8" s="13"/>
      <c r="J8" s="13"/>
      <c r="K8" s="13"/>
      <c r="L8" s="13"/>
      <c r="M8" s="13"/>
      <c r="N8" s="13"/>
      <c r="O8" s="13"/>
      <c r="P8" s="13"/>
      <c r="Q8" s="8">
        <v>10.0</v>
      </c>
    </row>
    <row r="9">
      <c r="A9" s="23">
        <v>16.0</v>
      </c>
      <c r="B9" s="24">
        <v>12.0</v>
      </c>
      <c r="C9" s="16">
        <v>4.0</v>
      </c>
      <c r="D9" s="18" t="s">
        <v>41</v>
      </c>
      <c r="E9" s="2" t="s">
        <v>41</v>
      </c>
      <c r="F9" s="13"/>
      <c r="G9" s="13"/>
      <c r="H9" s="2" t="s">
        <v>41</v>
      </c>
      <c r="I9" s="13"/>
      <c r="J9" s="13"/>
      <c r="K9" s="13"/>
      <c r="L9" s="13"/>
      <c r="M9" s="13"/>
      <c r="N9" s="13"/>
      <c r="O9" s="13"/>
      <c r="P9" s="13"/>
      <c r="Q9" s="8">
        <v>12.0</v>
      </c>
    </row>
    <row r="10">
      <c r="A10" s="22">
        <v>18.0</v>
      </c>
      <c r="B10" s="16">
        <v>8.0</v>
      </c>
      <c r="C10" s="2">
        <v>4.0</v>
      </c>
      <c r="D10" s="18" t="s">
        <v>38</v>
      </c>
      <c r="E10" s="2" t="s">
        <v>39</v>
      </c>
      <c r="F10" s="13"/>
      <c r="G10" s="13"/>
      <c r="H10" s="2" t="s">
        <v>38</v>
      </c>
      <c r="I10" s="13"/>
      <c r="J10" s="13"/>
      <c r="K10" s="13"/>
      <c r="L10" s="13"/>
      <c r="M10" s="13"/>
      <c r="N10" s="13"/>
      <c r="O10" s="13"/>
      <c r="P10" s="13"/>
      <c r="Q10" s="8">
        <v>10.0</v>
      </c>
    </row>
    <row r="11">
      <c r="A11" s="22">
        <v>17.0</v>
      </c>
      <c r="B11" s="16">
        <v>10.0</v>
      </c>
      <c r="C11" s="16">
        <v>4.0</v>
      </c>
      <c r="D11" s="18" t="s">
        <v>41</v>
      </c>
      <c r="E11" s="2" t="s">
        <v>41</v>
      </c>
      <c r="F11" s="13"/>
      <c r="G11" s="13"/>
      <c r="H11" s="2" t="s">
        <v>41</v>
      </c>
      <c r="I11" s="13"/>
      <c r="J11" s="13"/>
      <c r="K11" s="13"/>
      <c r="L11" s="13"/>
      <c r="M11" s="13"/>
      <c r="N11" s="13"/>
      <c r="O11" s="13"/>
      <c r="P11" s="13"/>
      <c r="Q11" s="8">
        <v>12.0</v>
      </c>
    </row>
    <row r="12">
      <c r="A12" s="23">
        <v>31.0</v>
      </c>
      <c r="B12" s="24">
        <v>17.0</v>
      </c>
      <c r="C12" s="2">
        <v>4.0</v>
      </c>
      <c r="D12" s="18" t="s">
        <v>41</v>
      </c>
      <c r="E12" s="2" t="s">
        <v>41</v>
      </c>
      <c r="F12" s="13"/>
      <c r="G12" s="13"/>
      <c r="H12" s="2" t="s">
        <v>39</v>
      </c>
      <c r="I12" s="13"/>
      <c r="J12" s="13"/>
      <c r="K12" s="13"/>
      <c r="L12" s="13"/>
      <c r="M12" s="13"/>
      <c r="N12" s="13"/>
      <c r="O12" s="13"/>
      <c r="P12" s="13"/>
      <c r="Q12" s="8">
        <v>17.0</v>
      </c>
    </row>
    <row r="13">
      <c r="A13" s="22">
        <v>33.0</v>
      </c>
      <c r="B13" s="16">
        <v>8.0</v>
      </c>
      <c r="C13" s="2">
        <v>4.0</v>
      </c>
      <c r="D13" s="18" t="s">
        <v>41</v>
      </c>
      <c r="E13" s="2" t="s">
        <v>39</v>
      </c>
      <c r="F13" s="13"/>
      <c r="G13" s="13"/>
      <c r="H13" s="2" t="s">
        <v>39</v>
      </c>
      <c r="I13" s="13"/>
      <c r="J13" s="13"/>
      <c r="K13" s="13"/>
      <c r="L13" s="13"/>
      <c r="M13" s="13"/>
      <c r="N13" s="13"/>
      <c r="O13" s="13"/>
      <c r="P13" s="13"/>
      <c r="Q13" s="8">
        <v>10.0</v>
      </c>
    </row>
    <row r="14">
      <c r="A14" s="16" t="s">
        <v>67</v>
      </c>
      <c r="D14" s="14"/>
      <c r="Q14" s="20"/>
    </row>
    <row r="15">
      <c r="A15" s="16">
        <v>8.0</v>
      </c>
      <c r="B15" s="2">
        <v>8.0</v>
      </c>
      <c r="C15" s="2">
        <v>4.0</v>
      </c>
      <c r="D15" s="18" t="s">
        <v>38</v>
      </c>
      <c r="E15" s="2" t="s">
        <v>38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10.0</v>
      </c>
    </row>
    <row r="16">
      <c r="A16" s="22">
        <v>10.0</v>
      </c>
      <c r="B16" s="2">
        <v>8.0</v>
      </c>
      <c r="C16" s="2">
        <v>4.0</v>
      </c>
      <c r="D16" s="18" t="s">
        <v>41</v>
      </c>
      <c r="E16" s="2" t="s">
        <v>41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10.0</v>
      </c>
    </row>
    <row r="17">
      <c r="A17" s="16">
        <v>14.0</v>
      </c>
      <c r="B17" s="2">
        <v>8.0</v>
      </c>
      <c r="C17" s="2">
        <v>4.0</v>
      </c>
      <c r="D17" s="18" t="s">
        <v>41</v>
      </c>
      <c r="E17" s="2" t="s">
        <v>38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10.0</v>
      </c>
    </row>
    <row r="18">
      <c r="A18" s="22" t="s">
        <v>68</v>
      </c>
      <c r="D18" s="14"/>
      <c r="Q18" s="20"/>
    </row>
    <row r="19">
      <c r="A19" s="22">
        <v>10.0</v>
      </c>
      <c r="B19" s="2">
        <v>8.0</v>
      </c>
      <c r="C19" s="2">
        <v>4.0</v>
      </c>
      <c r="D19" s="18" t="s">
        <v>41</v>
      </c>
      <c r="E19" s="2" t="s">
        <v>38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10.0</v>
      </c>
    </row>
    <row r="20">
      <c r="A20" s="22">
        <v>27.0</v>
      </c>
      <c r="B20" s="2">
        <v>8.0</v>
      </c>
      <c r="C20" s="2">
        <v>4.0</v>
      </c>
      <c r="D20" s="18" t="s">
        <v>41</v>
      </c>
      <c r="E20" s="2" t="s">
        <v>41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10.0</v>
      </c>
    </row>
    <row r="21">
      <c r="A21" s="22">
        <v>44.0</v>
      </c>
      <c r="B21" s="2">
        <v>8.0</v>
      </c>
      <c r="C21" s="2">
        <v>4.0</v>
      </c>
      <c r="D21" s="18" t="s">
        <v>41</v>
      </c>
      <c r="E21" s="2" t="s">
        <v>41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10.0</v>
      </c>
    </row>
    <row r="22">
      <c r="A22" s="22">
        <v>17.0</v>
      </c>
      <c r="B22" s="2">
        <v>12.0</v>
      </c>
      <c r="C22" s="2">
        <v>4.0</v>
      </c>
      <c r="D22" s="18" t="s">
        <v>41</v>
      </c>
      <c r="E22" s="2" t="s">
        <v>41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12.0</v>
      </c>
    </row>
    <row r="23">
      <c r="A23" s="22">
        <v>14.0</v>
      </c>
      <c r="B23" s="2">
        <v>12.0</v>
      </c>
      <c r="C23" s="2">
        <v>4.0</v>
      </c>
      <c r="D23" s="18" t="s">
        <v>41</v>
      </c>
      <c r="E23" s="2" t="s">
        <v>41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12.0</v>
      </c>
    </row>
    <row r="24">
      <c r="A24" s="22">
        <v>34.0</v>
      </c>
      <c r="B24" s="2">
        <v>12.0</v>
      </c>
      <c r="C24" s="2">
        <v>4.0</v>
      </c>
      <c r="D24" s="18" t="s">
        <v>41</v>
      </c>
      <c r="E24" s="2" t="s">
        <v>41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12.0</v>
      </c>
    </row>
    <row r="25">
      <c r="A25" s="2" t="s">
        <v>69</v>
      </c>
      <c r="D25" s="14"/>
      <c r="Q25" s="20"/>
    </row>
    <row r="26">
      <c r="A26" s="2">
        <v>1.0</v>
      </c>
      <c r="B26" s="2">
        <v>8.0</v>
      </c>
      <c r="C26" s="2">
        <v>4.0</v>
      </c>
      <c r="D26" s="18" t="s">
        <v>41</v>
      </c>
      <c r="E26" s="2" t="s">
        <v>41</v>
      </c>
      <c r="F26" s="2" t="s">
        <v>39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10.0</v>
      </c>
    </row>
    <row r="27">
      <c r="A27" s="2">
        <v>3.0</v>
      </c>
      <c r="B27" s="2">
        <v>8.0</v>
      </c>
      <c r="C27" s="2">
        <v>4.0</v>
      </c>
      <c r="D27" s="18" t="s">
        <v>41</v>
      </c>
      <c r="E27" s="2" t="s">
        <v>41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">
        <v>10.0</v>
      </c>
    </row>
    <row r="28">
      <c r="D28" s="14"/>
      <c r="Q28" s="20"/>
    </row>
    <row r="29">
      <c r="A29" s="16" t="s">
        <v>70</v>
      </c>
      <c r="D29" s="14"/>
      <c r="Q29" s="20"/>
    </row>
    <row r="30">
      <c r="A30" s="22">
        <v>2.0</v>
      </c>
      <c r="B30" s="2">
        <v>10.0</v>
      </c>
      <c r="C30" s="2">
        <v>4.0</v>
      </c>
      <c r="D30" s="18" t="s">
        <v>41</v>
      </c>
      <c r="E30" s="2" t="s">
        <v>66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">
        <v>12.0</v>
      </c>
    </row>
    <row r="31">
      <c r="A31" s="22">
        <v>6.0</v>
      </c>
      <c r="B31" s="2">
        <v>12.0</v>
      </c>
      <c r="C31" s="2">
        <v>4.0</v>
      </c>
      <c r="D31" s="18" t="s">
        <v>41</v>
      </c>
      <c r="E31" s="2" t="s">
        <v>41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8">
        <v>12.0</v>
      </c>
    </row>
    <row r="32">
      <c r="A32" s="22">
        <v>12.0</v>
      </c>
      <c r="B32" s="2">
        <v>10.0</v>
      </c>
      <c r="C32" s="2">
        <v>4.0</v>
      </c>
      <c r="D32" s="18" t="s">
        <v>41</v>
      </c>
      <c r="E32" s="2" t="s">
        <v>41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8">
        <v>12.0</v>
      </c>
    </row>
    <row r="33">
      <c r="A33" s="23">
        <v>26.0</v>
      </c>
      <c r="B33" s="2">
        <v>12.0</v>
      </c>
      <c r="C33" s="2">
        <v>4.0</v>
      </c>
      <c r="D33" s="18" t="s">
        <v>41</v>
      </c>
      <c r="E33" s="2" t="s">
        <v>41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8">
        <v>12.0</v>
      </c>
    </row>
    <row r="34">
      <c r="A34" s="25" t="s">
        <v>71</v>
      </c>
      <c r="B34" s="25"/>
      <c r="D34" s="14"/>
      <c r="Q34" s="20"/>
    </row>
    <row r="35">
      <c r="A35" s="22">
        <v>2.0</v>
      </c>
      <c r="B35" s="22">
        <v>12.0</v>
      </c>
      <c r="C35" s="2">
        <v>4.0</v>
      </c>
      <c r="D35" s="18" t="s">
        <v>41</v>
      </c>
      <c r="E35" s="2" t="s">
        <v>41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8">
        <v>12.0</v>
      </c>
    </row>
    <row r="36">
      <c r="A36" s="22">
        <v>4.0</v>
      </c>
      <c r="B36" s="22">
        <v>12.0</v>
      </c>
      <c r="C36" s="2">
        <v>4.0</v>
      </c>
      <c r="D36" s="18" t="s">
        <v>41</v>
      </c>
      <c r="E36" s="2" t="s">
        <v>41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8">
        <v>12.0</v>
      </c>
    </row>
    <row r="37">
      <c r="A37" s="12" t="s">
        <v>72</v>
      </c>
      <c r="D37" s="14"/>
      <c r="Q37" s="20"/>
    </row>
    <row r="38">
      <c r="A38" s="23">
        <v>15.0</v>
      </c>
      <c r="B38" s="2">
        <v>12.0</v>
      </c>
      <c r="C38" s="2">
        <v>8.0</v>
      </c>
      <c r="D38" s="18" t="s">
        <v>41</v>
      </c>
      <c r="E38" s="2" t="s">
        <v>39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8">
        <v>12.0</v>
      </c>
    </row>
    <row r="39">
      <c r="A39" s="23">
        <v>7.0</v>
      </c>
      <c r="B39" s="2">
        <v>12.0</v>
      </c>
      <c r="C39" s="2">
        <v>4.0</v>
      </c>
      <c r="D39" s="18" t="s">
        <v>41</v>
      </c>
      <c r="E39" s="2" t="s">
        <v>38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8">
        <v>12.0</v>
      </c>
    </row>
    <row r="40">
      <c r="A40" s="22">
        <v>4.0</v>
      </c>
      <c r="B40" s="2">
        <v>12.0</v>
      </c>
      <c r="C40" s="2">
        <v>8.0</v>
      </c>
      <c r="D40" s="18" t="s">
        <v>41</v>
      </c>
      <c r="E40" s="2" t="s">
        <v>39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8">
        <v>12.0</v>
      </c>
    </row>
    <row r="41">
      <c r="Q41" s="20"/>
    </row>
    <row r="42">
      <c r="Q42" s="20"/>
    </row>
    <row r="43">
      <c r="B43" s="13">
        <f>sum(B4:B40)</f>
        <v>305</v>
      </c>
      <c r="Q43" s="20">
        <f>sum(Q4:Q40)</f>
        <v>337</v>
      </c>
    </row>
    <row r="44">
      <c r="Q44" s="20"/>
    </row>
  </sheetData>
  <dataValidations>
    <dataValidation type="list" allowBlank="1" showErrorMessage="1" sqref="D4:P13 D15:P17 D19:P24 D26:P27 D30:P33 D35:P36 D38:P40">
      <formula1>"skipped,paid,owing,fronts"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5"/>
    <col customWidth="1" min="5" max="5" width="8.0"/>
    <col customWidth="1" min="6" max="6" width="5.88"/>
    <col customWidth="1" min="7" max="7" width="7.0"/>
    <col customWidth="1" min="8" max="8" width="6.88"/>
    <col customWidth="1" min="9" max="9" width="6.0"/>
    <col customWidth="1" min="10" max="10" width="5.88"/>
    <col customWidth="1" min="11" max="11" width="5.13"/>
    <col customWidth="1" min="12" max="12" width="5.63"/>
    <col customWidth="1" min="13" max="13" width="5.38"/>
    <col customWidth="1" min="14" max="14" width="5.75"/>
    <col customWidth="1" min="15" max="15" width="5.63"/>
    <col customWidth="1" min="16" max="16" width="5.75"/>
    <col customWidth="1" min="17" max="17" width="19.13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2" t="s">
        <v>73</v>
      </c>
      <c r="B2" s="14">
        <v>12.0</v>
      </c>
      <c r="C2" s="12" t="s">
        <v>37</v>
      </c>
      <c r="D2" s="2" t="s">
        <v>41</v>
      </c>
      <c r="E2" s="2" t="s">
        <v>74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2"/>
      <c r="Q2" s="26">
        <v>12.0</v>
      </c>
    </row>
    <row r="3">
      <c r="A3" s="16" t="s">
        <v>75</v>
      </c>
      <c r="B3" s="18">
        <v>12.0</v>
      </c>
      <c r="C3" s="16" t="s">
        <v>37</v>
      </c>
      <c r="D3" s="2" t="s">
        <v>41</v>
      </c>
      <c r="E3" s="2" t="s">
        <v>38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2"/>
      <c r="Q3" s="27">
        <v>12.0</v>
      </c>
    </row>
    <row r="4">
      <c r="A4" s="12" t="s">
        <v>76</v>
      </c>
      <c r="B4" s="14">
        <v>8.0</v>
      </c>
      <c r="C4" s="12" t="s">
        <v>37</v>
      </c>
      <c r="D4" s="2" t="s">
        <v>41</v>
      </c>
      <c r="E4" s="2" t="s">
        <v>41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6">
        <v>8.0</v>
      </c>
    </row>
    <row r="5">
      <c r="A5" s="12" t="s">
        <v>77</v>
      </c>
      <c r="B5" s="14">
        <v>5.0</v>
      </c>
      <c r="C5" s="12" t="s">
        <v>37</v>
      </c>
      <c r="D5" s="2" t="s">
        <v>41</v>
      </c>
      <c r="E5" s="2" t="s">
        <v>41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6">
        <v>5.0</v>
      </c>
    </row>
    <row r="6">
      <c r="A6" s="12" t="s">
        <v>78</v>
      </c>
      <c r="B6" s="14">
        <v>10.0</v>
      </c>
      <c r="C6" s="12" t="s">
        <v>37</v>
      </c>
      <c r="D6" s="2" t="s">
        <v>41</v>
      </c>
      <c r="E6" s="2" t="s">
        <v>41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2"/>
      <c r="Q6" s="26">
        <v>10.0</v>
      </c>
    </row>
    <row r="7">
      <c r="A7" s="12" t="s">
        <v>79</v>
      </c>
      <c r="B7" s="14">
        <v>10.0</v>
      </c>
      <c r="C7" s="12" t="s">
        <v>37</v>
      </c>
      <c r="D7" s="2" t="s">
        <v>41</v>
      </c>
      <c r="E7" s="2" t="s">
        <v>41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2"/>
      <c r="Q7" s="26">
        <v>10.0</v>
      </c>
    </row>
    <row r="8">
      <c r="A8" s="12" t="s">
        <v>80</v>
      </c>
      <c r="B8" s="14">
        <v>10.0</v>
      </c>
      <c r="C8" s="12" t="s">
        <v>37</v>
      </c>
      <c r="D8" s="2" t="s">
        <v>38</v>
      </c>
      <c r="E8" s="2" t="s">
        <v>39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2"/>
      <c r="Q8" s="26">
        <v>10.0</v>
      </c>
    </row>
    <row r="9">
      <c r="A9" s="12" t="s">
        <v>81</v>
      </c>
      <c r="B9" s="14">
        <v>10.0</v>
      </c>
      <c r="C9" s="12" t="s">
        <v>37</v>
      </c>
      <c r="D9" s="2" t="s">
        <v>41</v>
      </c>
      <c r="E9" s="2" t="s">
        <v>41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2"/>
      <c r="Q9" s="26">
        <v>10.0</v>
      </c>
    </row>
    <row r="10">
      <c r="A10" s="12" t="s">
        <v>82</v>
      </c>
      <c r="B10" s="14">
        <v>10.0</v>
      </c>
      <c r="C10" s="12" t="s">
        <v>37</v>
      </c>
      <c r="D10" s="2" t="s">
        <v>41</v>
      </c>
      <c r="E10" s="2" t="s">
        <v>41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6">
        <v>10.0</v>
      </c>
    </row>
    <row r="11">
      <c r="A11" s="12" t="s">
        <v>83</v>
      </c>
      <c r="B11" s="14">
        <v>12.0</v>
      </c>
      <c r="C11" s="12" t="s">
        <v>37</v>
      </c>
      <c r="D11" s="2" t="s">
        <v>41</v>
      </c>
      <c r="E11" s="2" t="s">
        <v>41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26">
        <v>12.0</v>
      </c>
    </row>
    <row r="12">
      <c r="A12" s="12" t="s">
        <v>84</v>
      </c>
      <c r="B12" s="14">
        <v>10.0</v>
      </c>
      <c r="C12" s="12" t="s">
        <v>37</v>
      </c>
      <c r="D12" s="2" t="s">
        <v>41</v>
      </c>
      <c r="E12" s="2" t="s">
        <v>38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6">
        <v>10.0</v>
      </c>
    </row>
    <row r="13">
      <c r="A13" s="12" t="s">
        <v>85</v>
      </c>
      <c r="B13" s="14">
        <v>10.0</v>
      </c>
      <c r="C13" s="12" t="s">
        <v>37</v>
      </c>
      <c r="D13" s="2" t="s">
        <v>41</v>
      </c>
      <c r="E13" s="2" t="s">
        <v>38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6">
        <v>10.0</v>
      </c>
    </row>
    <row r="14">
      <c r="A14" s="12" t="s">
        <v>86</v>
      </c>
      <c r="B14" s="14">
        <v>5.0</v>
      </c>
      <c r="C14" s="12" t="s">
        <v>37</v>
      </c>
      <c r="D14" s="2" t="s">
        <v>41</v>
      </c>
      <c r="E14" s="2" t="s">
        <v>41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6">
        <v>5.0</v>
      </c>
    </row>
    <row r="15">
      <c r="A15" s="12" t="s">
        <v>87</v>
      </c>
      <c r="B15" s="14">
        <v>5.0</v>
      </c>
      <c r="C15" s="12" t="s">
        <v>37</v>
      </c>
      <c r="D15" s="2" t="s">
        <v>41</v>
      </c>
      <c r="E15" s="2" t="s">
        <v>38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6">
        <v>5.0</v>
      </c>
    </row>
    <row r="16">
      <c r="A16" s="12" t="s">
        <v>88</v>
      </c>
      <c r="B16" s="14">
        <v>10.0</v>
      </c>
      <c r="C16" s="12" t="s">
        <v>37</v>
      </c>
      <c r="D16" s="2" t="s">
        <v>41</v>
      </c>
      <c r="E16" s="2" t="s">
        <v>41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6">
        <v>10.0</v>
      </c>
    </row>
    <row r="17">
      <c r="A17" s="12" t="s">
        <v>89</v>
      </c>
      <c r="B17" s="14">
        <v>7.0</v>
      </c>
      <c r="C17" s="12" t="s">
        <v>37</v>
      </c>
      <c r="D17" s="2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26">
        <v>7.0</v>
      </c>
    </row>
    <row r="18">
      <c r="A18" s="12" t="s">
        <v>90</v>
      </c>
      <c r="B18" s="14">
        <v>12.0</v>
      </c>
      <c r="C18" s="16" t="s">
        <v>37</v>
      </c>
      <c r="D18" s="2" t="s">
        <v>41</v>
      </c>
      <c r="E18" s="2" t="s">
        <v>41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26">
        <v>12.0</v>
      </c>
    </row>
    <row r="19">
      <c r="A19" s="12" t="s">
        <v>91</v>
      </c>
      <c r="B19" s="14">
        <v>12.0</v>
      </c>
      <c r="C19" s="12" t="s">
        <v>37</v>
      </c>
      <c r="D19" s="2" t="s">
        <v>41</v>
      </c>
      <c r="E19" s="2" t="s">
        <v>38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6">
        <v>12.0</v>
      </c>
    </row>
    <row r="20">
      <c r="A20" s="12" t="s">
        <v>92</v>
      </c>
      <c r="B20" s="14">
        <v>10.0</v>
      </c>
      <c r="C20" s="12" t="s">
        <v>37</v>
      </c>
      <c r="D20" s="2" t="s">
        <v>41</v>
      </c>
      <c r="E20" s="2" t="s">
        <v>41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6">
        <v>10.0</v>
      </c>
    </row>
    <row r="21">
      <c r="A21" s="12" t="s">
        <v>93</v>
      </c>
      <c r="B21" s="14">
        <v>10.0</v>
      </c>
      <c r="C21" s="12" t="s">
        <v>37</v>
      </c>
      <c r="D21" s="2" t="s">
        <v>41</v>
      </c>
      <c r="E21" s="2" t="s">
        <v>41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6">
        <v>10.0</v>
      </c>
    </row>
    <row r="22">
      <c r="A22" s="12" t="s">
        <v>94</v>
      </c>
      <c r="B22" s="14">
        <v>10.0</v>
      </c>
      <c r="C22" s="12" t="s">
        <v>37</v>
      </c>
      <c r="D22" s="2" t="s">
        <v>41</v>
      </c>
      <c r="E22" s="2" t="s">
        <v>41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6">
        <v>10.0</v>
      </c>
    </row>
    <row r="23">
      <c r="A23" s="16" t="s">
        <v>95</v>
      </c>
      <c r="B23" s="18">
        <v>12.0</v>
      </c>
      <c r="C23" s="16" t="s">
        <v>37</v>
      </c>
      <c r="D23" s="2" t="s">
        <v>41</v>
      </c>
      <c r="E23" s="2" t="s">
        <v>38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6"/>
    </row>
    <row r="24">
      <c r="A24" s="12" t="s">
        <v>96</v>
      </c>
      <c r="B24" s="14">
        <v>10.0</v>
      </c>
      <c r="C24" s="12" t="s">
        <v>37</v>
      </c>
      <c r="D24" s="2" t="s">
        <v>41</v>
      </c>
      <c r="E24" s="2" t="s">
        <v>41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6">
        <v>10.0</v>
      </c>
    </row>
    <row r="25">
      <c r="A25" s="12" t="s">
        <v>97</v>
      </c>
      <c r="B25" s="14">
        <v>10.0</v>
      </c>
      <c r="C25" s="12" t="s">
        <v>37</v>
      </c>
      <c r="D25" s="2" t="s">
        <v>41</v>
      </c>
      <c r="E25" s="2" t="s">
        <v>41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2"/>
      <c r="Q25" s="26">
        <v>10.0</v>
      </c>
    </row>
    <row r="26">
      <c r="A26" s="12" t="s">
        <v>98</v>
      </c>
      <c r="B26" s="14">
        <v>10.0</v>
      </c>
      <c r="C26" s="12" t="s">
        <v>37</v>
      </c>
      <c r="D26" s="2" t="s">
        <v>41</v>
      </c>
      <c r="E26" s="2" t="s">
        <v>38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"/>
      <c r="Q26" s="26">
        <v>10.0</v>
      </c>
    </row>
    <row r="27">
      <c r="A27" s="12" t="s">
        <v>99</v>
      </c>
      <c r="B27" s="14">
        <v>10.0</v>
      </c>
      <c r="C27" s="12" t="s">
        <v>37</v>
      </c>
      <c r="D27" s="2" t="s">
        <v>41</v>
      </c>
      <c r="E27" s="2" t="s">
        <v>41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"/>
      <c r="Q27" s="26">
        <v>10.0</v>
      </c>
    </row>
    <row r="28">
      <c r="A28" s="12" t="s">
        <v>100</v>
      </c>
      <c r="B28" s="14">
        <v>12.0</v>
      </c>
      <c r="C28" s="12" t="s">
        <v>37</v>
      </c>
      <c r="D28" s="2" t="s">
        <v>41</v>
      </c>
      <c r="E28" s="2" t="s">
        <v>41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"/>
      <c r="Q28" s="26">
        <v>12.0</v>
      </c>
    </row>
    <row r="29">
      <c r="A29" s="12" t="s">
        <v>101</v>
      </c>
      <c r="B29" s="14">
        <v>5.0</v>
      </c>
      <c r="C29" s="12" t="s">
        <v>37</v>
      </c>
      <c r="D29" s="2" t="s">
        <v>41</v>
      </c>
      <c r="E29" s="2" t="s">
        <v>38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"/>
      <c r="Q29" s="26">
        <v>5.0</v>
      </c>
    </row>
    <row r="30">
      <c r="A30" s="17" t="s">
        <v>102</v>
      </c>
      <c r="B30" s="14">
        <v>10.0</v>
      </c>
      <c r="C30" s="17" t="s">
        <v>37</v>
      </c>
      <c r="D30" s="2" t="s">
        <v>41</v>
      </c>
      <c r="E30" s="2" t="s">
        <v>41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2"/>
      <c r="Q30" s="26">
        <v>10.0</v>
      </c>
    </row>
    <row r="31">
      <c r="A31" s="17" t="s">
        <v>103</v>
      </c>
      <c r="B31" s="14">
        <v>10.0</v>
      </c>
      <c r="C31" s="12" t="s">
        <v>37</v>
      </c>
      <c r="D31" s="2" t="s">
        <v>41</v>
      </c>
      <c r="E31" s="2" t="s">
        <v>41</v>
      </c>
      <c r="F31" s="2" t="s">
        <v>41</v>
      </c>
      <c r="G31" s="2" t="s">
        <v>41</v>
      </c>
      <c r="H31" s="2" t="s">
        <v>41</v>
      </c>
      <c r="I31" s="2" t="s">
        <v>41</v>
      </c>
      <c r="J31" s="13"/>
      <c r="K31" s="13"/>
      <c r="L31" s="13"/>
      <c r="M31" s="13"/>
      <c r="N31" s="13"/>
      <c r="O31" s="13"/>
      <c r="P31" s="2"/>
      <c r="Q31" s="26">
        <v>10.0</v>
      </c>
    </row>
    <row r="32">
      <c r="A32" s="17" t="s">
        <v>104</v>
      </c>
      <c r="B32" s="14">
        <v>10.0</v>
      </c>
      <c r="C32" s="12" t="s">
        <v>37</v>
      </c>
      <c r="D32" s="2" t="s">
        <v>41</v>
      </c>
      <c r="E32" s="2" t="s">
        <v>41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6">
        <v>10.0</v>
      </c>
    </row>
    <row r="33">
      <c r="A33" s="17" t="s">
        <v>105</v>
      </c>
      <c r="B33" s="14">
        <v>7.0</v>
      </c>
      <c r="C33" s="12" t="s">
        <v>37</v>
      </c>
      <c r="D33" s="2" t="s">
        <v>41</v>
      </c>
      <c r="E33" s="2" t="s">
        <v>41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6">
        <v>7.0</v>
      </c>
    </row>
    <row r="34">
      <c r="A34" s="17" t="s">
        <v>106</v>
      </c>
      <c r="B34" s="14">
        <v>10.0</v>
      </c>
      <c r="C34" s="12" t="s">
        <v>48</v>
      </c>
      <c r="D34" s="2" t="s">
        <v>41</v>
      </c>
      <c r="E34" s="2" t="s">
        <v>41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26">
        <v>10.0</v>
      </c>
    </row>
    <row r="35">
      <c r="A35" s="17" t="s">
        <v>107</v>
      </c>
      <c r="B35" s="14">
        <v>10.0</v>
      </c>
      <c r="C35" s="12" t="s">
        <v>37</v>
      </c>
      <c r="D35" s="2" t="s">
        <v>41</v>
      </c>
      <c r="E35" s="2" t="s">
        <v>38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26">
        <v>10.0</v>
      </c>
    </row>
    <row r="36">
      <c r="A36" s="17" t="s">
        <v>108</v>
      </c>
      <c r="B36" s="14">
        <v>10.0</v>
      </c>
      <c r="C36" s="12" t="s">
        <v>37</v>
      </c>
      <c r="D36" s="2" t="s">
        <v>41</v>
      </c>
      <c r="E36" s="2" t="s">
        <v>41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6">
        <v>10.0</v>
      </c>
    </row>
    <row r="37">
      <c r="A37" s="17" t="s">
        <v>109</v>
      </c>
      <c r="B37" s="14">
        <v>12.0</v>
      </c>
      <c r="C37" s="12" t="s">
        <v>37</v>
      </c>
      <c r="D37" s="2" t="s">
        <v>41</v>
      </c>
      <c r="E37" s="2" t="s">
        <v>38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26">
        <v>12.0</v>
      </c>
    </row>
    <row r="38">
      <c r="A38" s="12" t="s">
        <v>110</v>
      </c>
      <c r="B38" s="14">
        <v>10.0</v>
      </c>
      <c r="C38" s="12" t="s">
        <v>37</v>
      </c>
      <c r="D38" s="2" t="s">
        <v>41</v>
      </c>
      <c r="E38" s="2" t="s">
        <v>41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26">
        <v>10.0</v>
      </c>
    </row>
    <row r="39">
      <c r="A39" s="12" t="s">
        <v>111</v>
      </c>
      <c r="B39" s="14">
        <v>10.0</v>
      </c>
      <c r="C39" s="12" t="s">
        <v>37</v>
      </c>
      <c r="D39" s="2" t="s">
        <v>41</v>
      </c>
      <c r="E39" s="2" t="s">
        <v>41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26">
        <v>10.0</v>
      </c>
    </row>
    <row r="40">
      <c r="A40" s="12" t="s">
        <v>112</v>
      </c>
      <c r="B40" s="14">
        <v>10.0</v>
      </c>
      <c r="C40" s="12" t="s">
        <v>37</v>
      </c>
      <c r="D40" s="2" t="s">
        <v>41</v>
      </c>
      <c r="E40" s="2" t="s">
        <v>41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26">
        <v>10.0</v>
      </c>
    </row>
    <row r="41">
      <c r="A41" s="12" t="s">
        <v>113</v>
      </c>
      <c r="B41" s="14">
        <v>10.0</v>
      </c>
      <c r="C41" s="12" t="s">
        <v>37</v>
      </c>
      <c r="D41" s="2" t="s">
        <v>41</v>
      </c>
      <c r="E41" s="2" t="s">
        <v>41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26">
        <v>10.0</v>
      </c>
    </row>
    <row r="42">
      <c r="A42" s="12" t="s">
        <v>114</v>
      </c>
      <c r="B42" s="14">
        <v>10.0</v>
      </c>
      <c r="C42" s="12" t="s">
        <v>37</v>
      </c>
      <c r="D42" s="2" t="s">
        <v>41</v>
      </c>
      <c r="E42" s="2" t="s">
        <v>38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26">
        <v>10.0</v>
      </c>
    </row>
    <row r="43">
      <c r="A43" s="12" t="s">
        <v>115</v>
      </c>
      <c r="B43" s="18">
        <v>12.0</v>
      </c>
      <c r="C43" s="12" t="s">
        <v>37</v>
      </c>
      <c r="D43" s="2" t="s">
        <v>41</v>
      </c>
      <c r="E43" s="2" t="s">
        <v>41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27">
        <v>12.0</v>
      </c>
    </row>
    <row r="44">
      <c r="A44" s="12" t="s">
        <v>116</v>
      </c>
      <c r="B44" s="14">
        <v>10.0</v>
      </c>
      <c r="C44" s="12" t="s">
        <v>37</v>
      </c>
      <c r="D44" s="2" t="s">
        <v>38</v>
      </c>
      <c r="E44" s="2" t="s">
        <v>39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26">
        <v>10.0</v>
      </c>
    </row>
    <row r="45">
      <c r="A45" s="12" t="s">
        <v>117</v>
      </c>
      <c r="B45" s="14">
        <v>10.0</v>
      </c>
      <c r="C45" s="12" t="s">
        <v>37</v>
      </c>
      <c r="D45" s="2" t="s">
        <v>41</v>
      </c>
      <c r="E45" s="2" t="s">
        <v>66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26">
        <v>10.0</v>
      </c>
    </row>
    <row r="46">
      <c r="A46" s="12" t="s">
        <v>118</v>
      </c>
      <c r="B46" s="14">
        <v>10.0</v>
      </c>
      <c r="C46" s="12" t="s">
        <v>37</v>
      </c>
      <c r="D46" s="2" t="s">
        <v>41</v>
      </c>
      <c r="E46" s="2" t="s">
        <v>41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"/>
      <c r="Q46" s="26">
        <v>10.0</v>
      </c>
    </row>
    <row r="47">
      <c r="Q47" s="20"/>
    </row>
    <row r="48">
      <c r="Q48" s="20"/>
    </row>
    <row r="49">
      <c r="B49" s="21">
        <f>sum(B2:B46)</f>
        <v>440</v>
      </c>
      <c r="Q49" s="28">
        <f>SUM(Q2:Q46)</f>
        <v>428</v>
      </c>
    </row>
  </sheetData>
  <dataValidations>
    <dataValidation type="list" allowBlank="1" showErrorMessage="1" sqref="E2:E3">
      <formula1>"owing,paid,skipped,0,fronts "</formula1>
    </dataValidation>
    <dataValidation type="list" allowBlank="1" showErrorMessage="1" sqref="D2:D3 F2:P3 D4:P46">
      <formula1>"owing,paid,skipped,fronts"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4" max="4" width="8.13"/>
    <col customWidth="1" min="5" max="5" width="5.5"/>
    <col customWidth="1" min="6" max="6" width="5.38"/>
    <col customWidth="1" min="7" max="7" width="4.63"/>
    <col customWidth="1" min="8" max="8" width="5.63"/>
    <col customWidth="1" min="9" max="10" width="4.63"/>
    <col customWidth="1" min="11" max="11" width="5.38"/>
    <col customWidth="1" min="12" max="12" width="6.5"/>
    <col customWidth="1" min="13" max="13" width="5.13"/>
    <col customWidth="1" min="14" max="14" width="6.13"/>
    <col customWidth="1" min="15" max="15" width="4.88"/>
    <col customWidth="1" min="16" max="16" width="5.5"/>
    <col customWidth="1" min="17" max="17" width="17.0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2" t="s">
        <v>119</v>
      </c>
      <c r="B2" s="14">
        <v>5.0</v>
      </c>
      <c r="C2" s="12" t="s">
        <v>37</v>
      </c>
      <c r="D2" s="18" t="s">
        <v>41</v>
      </c>
      <c r="E2" s="2" t="s">
        <v>41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8">
        <v>6.0</v>
      </c>
    </row>
    <row r="3">
      <c r="A3" s="12" t="s">
        <v>120</v>
      </c>
      <c r="B3" s="14">
        <v>7.0</v>
      </c>
      <c r="C3" s="12" t="s">
        <v>37</v>
      </c>
      <c r="D3" s="18" t="s">
        <v>41</v>
      </c>
      <c r="E3" s="2" t="s">
        <v>41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>
        <v>8.0</v>
      </c>
    </row>
    <row r="4">
      <c r="A4" s="12" t="s">
        <v>121</v>
      </c>
      <c r="B4" s="14">
        <v>10.0</v>
      </c>
      <c r="C4" s="12" t="s">
        <v>37</v>
      </c>
      <c r="D4" s="18" t="s">
        <v>41</v>
      </c>
      <c r="E4" s="2" t="s">
        <v>41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8">
        <v>12.0</v>
      </c>
    </row>
    <row r="5">
      <c r="A5" s="12" t="s">
        <v>122</v>
      </c>
      <c r="B5" s="14">
        <v>10.0</v>
      </c>
      <c r="C5" s="12" t="s">
        <v>48</v>
      </c>
      <c r="D5" s="18" t="s">
        <v>41</v>
      </c>
      <c r="E5" s="2" t="s">
        <v>41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8">
        <v>14.0</v>
      </c>
    </row>
    <row r="6">
      <c r="A6" s="12" t="s">
        <v>123</v>
      </c>
      <c r="B6" s="14">
        <v>10.0</v>
      </c>
      <c r="C6" s="12" t="s">
        <v>37</v>
      </c>
      <c r="D6" s="18" t="s">
        <v>41</v>
      </c>
      <c r="E6" s="2" t="s">
        <v>41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8">
        <v>12.0</v>
      </c>
    </row>
    <row r="7">
      <c r="A7" s="12" t="s">
        <v>124</v>
      </c>
      <c r="B7" s="14">
        <v>10.0</v>
      </c>
      <c r="C7" s="12" t="s">
        <v>37</v>
      </c>
      <c r="D7" s="18" t="s">
        <v>41</v>
      </c>
      <c r="E7" s="2" t="s">
        <v>41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>
        <v>12.0</v>
      </c>
    </row>
    <row r="8">
      <c r="A8" s="12" t="s">
        <v>125</v>
      </c>
      <c r="B8" s="14">
        <v>11.0</v>
      </c>
      <c r="C8" s="12" t="s">
        <v>37</v>
      </c>
      <c r="D8" s="18" t="s">
        <v>41</v>
      </c>
      <c r="E8" s="2" t="s">
        <v>41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8">
        <v>12.0</v>
      </c>
    </row>
    <row r="9">
      <c r="A9" s="12" t="s">
        <v>126</v>
      </c>
      <c r="B9" s="14">
        <v>10.0</v>
      </c>
      <c r="C9" s="12" t="s">
        <v>37</v>
      </c>
      <c r="D9" s="18" t="s">
        <v>41</v>
      </c>
      <c r="E9" s="2" t="s">
        <v>41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8">
        <v>12.0</v>
      </c>
    </row>
    <row r="10">
      <c r="A10" s="12" t="s">
        <v>127</v>
      </c>
      <c r="B10" s="14">
        <v>7.0</v>
      </c>
      <c r="C10" s="12" t="s">
        <v>37</v>
      </c>
      <c r="D10" s="18" t="s">
        <v>41</v>
      </c>
      <c r="E10" s="2" t="s">
        <v>41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8">
        <v>7.0</v>
      </c>
    </row>
    <row r="11">
      <c r="A11" s="12" t="s">
        <v>128</v>
      </c>
      <c r="B11" s="14">
        <v>12.0</v>
      </c>
      <c r="C11" s="12" t="s">
        <v>37</v>
      </c>
      <c r="D11" s="18" t="s">
        <v>41</v>
      </c>
      <c r="E11" s="2" t="s">
        <v>66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12.0</v>
      </c>
    </row>
    <row r="12">
      <c r="A12" s="12" t="s">
        <v>129</v>
      </c>
      <c r="B12" s="14">
        <v>10.0</v>
      </c>
      <c r="C12" s="12" t="s">
        <v>37</v>
      </c>
      <c r="D12" s="18" t="s">
        <v>41</v>
      </c>
      <c r="E12" s="2" t="s">
        <v>41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12.0</v>
      </c>
    </row>
    <row r="13">
      <c r="A13" s="12" t="s">
        <v>130</v>
      </c>
      <c r="B13" s="14">
        <v>5.0</v>
      </c>
      <c r="C13" s="12" t="s">
        <v>37</v>
      </c>
      <c r="D13" s="18" t="s">
        <v>41</v>
      </c>
      <c r="E13" s="2" t="s">
        <v>41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6.0</v>
      </c>
    </row>
    <row r="14">
      <c r="A14" s="12" t="s">
        <v>131</v>
      </c>
      <c r="B14" s="14">
        <v>10.0</v>
      </c>
      <c r="C14" s="12" t="s">
        <v>37</v>
      </c>
      <c r="D14" s="18" t="s">
        <v>41</v>
      </c>
      <c r="E14" s="2" t="s">
        <v>41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12.0</v>
      </c>
    </row>
    <row r="15">
      <c r="A15" s="12" t="s">
        <v>132</v>
      </c>
      <c r="B15" s="14">
        <v>10.0</v>
      </c>
      <c r="C15" s="12" t="s">
        <v>37</v>
      </c>
      <c r="D15" s="18" t="s">
        <v>41</v>
      </c>
      <c r="E15" s="2" t="s">
        <v>41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12.0</v>
      </c>
    </row>
    <row r="16">
      <c r="A16" s="12" t="s">
        <v>133</v>
      </c>
      <c r="B16" s="14">
        <v>10.0</v>
      </c>
      <c r="C16" s="12" t="s">
        <v>37</v>
      </c>
      <c r="D16" s="18" t="s">
        <v>41</v>
      </c>
      <c r="E16" s="2" t="s">
        <v>38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12.0</v>
      </c>
    </row>
    <row r="17">
      <c r="A17" s="12" t="s">
        <v>134</v>
      </c>
      <c r="B17" s="14">
        <v>7.0</v>
      </c>
      <c r="C17" s="12" t="s">
        <v>37</v>
      </c>
      <c r="D17" s="18" t="s">
        <v>41</v>
      </c>
      <c r="E17" s="2" t="s">
        <v>41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8.0</v>
      </c>
    </row>
    <row r="18">
      <c r="A18" s="12" t="s">
        <v>135</v>
      </c>
      <c r="B18" s="14">
        <v>12.0</v>
      </c>
      <c r="C18" s="12" t="s">
        <v>37</v>
      </c>
      <c r="D18" s="18" t="s">
        <v>41</v>
      </c>
      <c r="E18" s="2" t="s">
        <v>41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14.0</v>
      </c>
    </row>
    <row r="19">
      <c r="A19" s="12" t="s">
        <v>136</v>
      </c>
      <c r="B19" s="18">
        <v>12.0</v>
      </c>
      <c r="C19" s="12" t="s">
        <v>37</v>
      </c>
      <c r="D19" s="18" t="s">
        <v>38</v>
      </c>
      <c r="E19" s="2" t="s">
        <v>38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12.0</v>
      </c>
    </row>
    <row r="20">
      <c r="A20" s="12" t="s">
        <v>137</v>
      </c>
      <c r="B20" s="14">
        <v>10.0</v>
      </c>
      <c r="C20" s="12" t="s">
        <v>37</v>
      </c>
      <c r="D20" s="18" t="s">
        <v>41</v>
      </c>
      <c r="E20" s="2" t="s">
        <v>41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12.0</v>
      </c>
    </row>
    <row r="21">
      <c r="A21" s="12" t="s">
        <v>138</v>
      </c>
      <c r="B21" s="14">
        <v>10.0</v>
      </c>
      <c r="C21" s="12" t="s">
        <v>37</v>
      </c>
      <c r="D21" s="18" t="s">
        <v>41</v>
      </c>
      <c r="E21" s="2" t="s">
        <v>41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12.0</v>
      </c>
    </row>
    <row r="22">
      <c r="A22" s="12" t="s">
        <v>139</v>
      </c>
      <c r="B22" s="14">
        <v>10.0</v>
      </c>
      <c r="C22" s="12" t="s">
        <v>37</v>
      </c>
      <c r="D22" s="18" t="s">
        <v>41</v>
      </c>
      <c r="E22" s="2" t="s">
        <v>41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14.0</v>
      </c>
    </row>
    <row r="23">
      <c r="A23" s="12" t="s">
        <v>140</v>
      </c>
      <c r="B23" s="14">
        <v>10.0</v>
      </c>
      <c r="C23" s="12" t="s">
        <v>37</v>
      </c>
      <c r="D23" s="18" t="s">
        <v>41</v>
      </c>
      <c r="E23" s="2" t="s">
        <v>38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12.0</v>
      </c>
    </row>
    <row r="24">
      <c r="A24" s="12" t="s">
        <v>141</v>
      </c>
      <c r="B24" s="14">
        <v>10.0</v>
      </c>
      <c r="C24" s="12" t="s">
        <v>37</v>
      </c>
      <c r="D24" s="18" t="s">
        <v>41</v>
      </c>
      <c r="E24" s="2" t="s">
        <v>41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13.0</v>
      </c>
    </row>
    <row r="25">
      <c r="A25" s="12" t="s">
        <v>142</v>
      </c>
      <c r="B25" s="14">
        <v>10.0</v>
      </c>
      <c r="C25" s="12" t="s">
        <v>37</v>
      </c>
      <c r="D25" s="18" t="s">
        <v>41</v>
      </c>
      <c r="E25" s="2" t="s">
        <v>41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12.0</v>
      </c>
    </row>
    <row r="26">
      <c r="A26" s="12" t="s">
        <v>143</v>
      </c>
      <c r="B26" s="14">
        <v>10.0</v>
      </c>
      <c r="C26" s="12" t="s">
        <v>37</v>
      </c>
      <c r="D26" s="18" t="s">
        <v>41</v>
      </c>
      <c r="E26" s="2" t="s">
        <v>41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10.0</v>
      </c>
    </row>
    <row r="27">
      <c r="A27" s="12" t="s">
        <v>144</v>
      </c>
      <c r="B27" s="14">
        <v>10.0</v>
      </c>
      <c r="C27" s="12" t="s">
        <v>37</v>
      </c>
      <c r="D27" s="18" t="s">
        <v>41</v>
      </c>
      <c r="E27" s="2" t="s">
        <v>41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">
        <v>12.0</v>
      </c>
    </row>
    <row r="28">
      <c r="A28" s="16" t="s">
        <v>145</v>
      </c>
      <c r="B28" s="18">
        <v>35.0</v>
      </c>
      <c r="C28" s="12" t="s">
        <v>37</v>
      </c>
      <c r="D28" s="18" t="s">
        <v>41</v>
      </c>
      <c r="E28" s="2" t="s">
        <v>39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">
        <v>35.0</v>
      </c>
    </row>
    <row r="29">
      <c r="A29" s="12" t="s">
        <v>146</v>
      </c>
      <c r="B29" s="14">
        <v>12.0</v>
      </c>
      <c r="C29" s="12" t="s">
        <v>37</v>
      </c>
      <c r="D29" s="18" t="s">
        <v>41</v>
      </c>
      <c r="E29" s="2" t="s">
        <v>41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">
        <v>13.0</v>
      </c>
    </row>
    <row r="30">
      <c r="A30" s="12" t="s">
        <v>147</v>
      </c>
      <c r="B30" s="14">
        <v>12.0</v>
      </c>
      <c r="C30" s="12" t="s">
        <v>37</v>
      </c>
      <c r="D30" s="18" t="s">
        <v>41</v>
      </c>
      <c r="E30" s="2" t="s">
        <v>41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">
        <v>13.0</v>
      </c>
    </row>
    <row r="31">
      <c r="A31" s="12" t="s">
        <v>148</v>
      </c>
      <c r="B31" s="14">
        <v>10.0</v>
      </c>
      <c r="C31" s="12" t="s">
        <v>37</v>
      </c>
      <c r="D31" s="18" t="s">
        <v>41</v>
      </c>
      <c r="E31" s="2" t="s">
        <v>41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8">
        <v>12.0</v>
      </c>
    </row>
    <row r="32">
      <c r="A32" s="12"/>
      <c r="B32" s="12"/>
      <c r="C32" s="12"/>
      <c r="D32" s="14"/>
      <c r="Q32" s="20"/>
    </row>
    <row r="33">
      <c r="A33" s="12"/>
      <c r="B33" s="12"/>
      <c r="C33" s="12"/>
      <c r="D33" s="14"/>
      <c r="Q33" s="20">
        <f>SUM(Q2:Q31)</f>
        <v>365</v>
      </c>
    </row>
    <row r="34">
      <c r="A34" s="12"/>
      <c r="B34" s="12"/>
      <c r="C34" s="12"/>
      <c r="D34" s="14"/>
    </row>
    <row r="35">
      <c r="A35" s="12"/>
      <c r="B35" s="12"/>
      <c r="C35" s="12"/>
      <c r="D35" s="14"/>
    </row>
    <row r="36">
      <c r="A36" s="12"/>
      <c r="B36" s="12"/>
      <c r="C36" s="12"/>
      <c r="D36" s="14"/>
    </row>
    <row r="37">
      <c r="A37" s="12"/>
      <c r="B37" s="12"/>
      <c r="C37" s="12"/>
      <c r="D37" s="14"/>
    </row>
    <row r="38">
      <c r="A38" s="12"/>
      <c r="B38" s="12"/>
      <c r="C38" s="12"/>
      <c r="D38" s="14"/>
    </row>
    <row r="39">
      <c r="A39" s="12"/>
      <c r="B39" s="29">
        <f>sum(B2:B31)</f>
        <v>317</v>
      </c>
      <c r="C39" s="12"/>
      <c r="D39" s="14"/>
    </row>
    <row r="40">
      <c r="A40" s="12"/>
      <c r="B40" s="12"/>
      <c r="C40" s="12"/>
      <c r="D40" s="14"/>
    </row>
  </sheetData>
  <dataValidations>
    <dataValidation type="list" allowBlank="1" showErrorMessage="1" sqref="D2:P31">
      <formula1>"skipped,paid,owing,fronts"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7.5"/>
    <col customWidth="1" min="5" max="5" width="7.75"/>
    <col customWidth="1" min="6" max="6" width="5.75"/>
    <col customWidth="1" min="7" max="7" width="6.38"/>
    <col customWidth="1" min="8" max="8" width="5.88"/>
    <col customWidth="1" min="9" max="9" width="6.25"/>
    <col customWidth="1" min="10" max="10" width="6.38"/>
    <col customWidth="1" min="11" max="11" width="7.75"/>
    <col customWidth="1" min="12" max="12" width="6.5"/>
    <col customWidth="1" min="13" max="13" width="5.63"/>
    <col customWidth="1" min="14" max="14" width="7.38"/>
    <col customWidth="1" min="15" max="15" width="4.88"/>
    <col customWidth="1" min="16" max="16" width="6.5"/>
    <col customWidth="1" min="17" max="17" width="18.13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7" t="s">
        <v>149</v>
      </c>
      <c r="B2" s="14">
        <v>15.0</v>
      </c>
      <c r="C2" s="16" t="s">
        <v>37</v>
      </c>
      <c r="D2" s="18" t="s">
        <v>41</v>
      </c>
      <c r="E2" s="2" t="s">
        <v>41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8">
        <v>17.0</v>
      </c>
    </row>
    <row r="3">
      <c r="A3" s="17" t="s">
        <v>150</v>
      </c>
      <c r="B3" s="14">
        <v>10.0</v>
      </c>
      <c r="C3" s="17" t="s">
        <v>37</v>
      </c>
      <c r="D3" s="18" t="s">
        <v>41</v>
      </c>
      <c r="E3" s="2" t="s">
        <v>41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>
        <v>12.0</v>
      </c>
    </row>
    <row r="4">
      <c r="A4" s="17" t="s">
        <v>151</v>
      </c>
      <c r="B4" s="14">
        <v>8.0</v>
      </c>
      <c r="C4" s="17" t="s">
        <v>37</v>
      </c>
      <c r="D4" s="18" t="s">
        <v>41</v>
      </c>
      <c r="E4" s="2" t="s">
        <v>41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8">
        <v>10.0</v>
      </c>
    </row>
    <row r="5">
      <c r="A5" s="17" t="s">
        <v>152</v>
      </c>
      <c r="B5" s="14">
        <v>10.0</v>
      </c>
      <c r="C5" s="17" t="s">
        <v>37</v>
      </c>
      <c r="D5" s="18" t="s">
        <v>41</v>
      </c>
      <c r="E5" s="2" t="s">
        <v>41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8">
        <v>12.0</v>
      </c>
    </row>
    <row r="6">
      <c r="A6" s="17" t="s">
        <v>153</v>
      </c>
      <c r="B6" s="14">
        <v>13.0</v>
      </c>
      <c r="C6" s="17" t="s">
        <v>37</v>
      </c>
      <c r="D6" s="18" t="s">
        <v>41</v>
      </c>
      <c r="E6" s="2" t="s">
        <v>41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8">
        <v>15.0</v>
      </c>
    </row>
    <row r="7">
      <c r="A7" s="17" t="s">
        <v>154</v>
      </c>
      <c r="B7" s="14">
        <v>10.0</v>
      </c>
      <c r="C7" s="17" t="s">
        <v>37</v>
      </c>
      <c r="D7" s="18" t="s">
        <v>41</v>
      </c>
      <c r="E7" s="2" t="s">
        <v>41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>
        <v>12.0</v>
      </c>
    </row>
    <row r="8">
      <c r="A8" s="17" t="s">
        <v>155</v>
      </c>
      <c r="B8" s="14">
        <v>10.0</v>
      </c>
      <c r="C8" s="17" t="s">
        <v>37</v>
      </c>
      <c r="D8" s="18" t="s">
        <v>41</v>
      </c>
      <c r="E8" s="2" t="s">
        <v>66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8">
        <v>12.0</v>
      </c>
    </row>
    <row r="9">
      <c r="A9" s="17" t="s">
        <v>156</v>
      </c>
      <c r="B9" s="14">
        <v>12.0</v>
      </c>
      <c r="C9" s="17" t="s">
        <v>37</v>
      </c>
      <c r="D9" s="18" t="s">
        <v>41</v>
      </c>
      <c r="E9" s="2" t="s">
        <v>38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8">
        <v>14.0</v>
      </c>
    </row>
    <row r="10">
      <c r="A10" s="17" t="s">
        <v>157</v>
      </c>
      <c r="B10" s="18">
        <v>10.0</v>
      </c>
      <c r="C10" s="17" t="s">
        <v>37</v>
      </c>
      <c r="D10" s="18" t="s">
        <v>41</v>
      </c>
      <c r="E10" s="2" t="s">
        <v>41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8">
        <v>10.0</v>
      </c>
    </row>
    <row r="11">
      <c r="A11" s="17" t="s">
        <v>158</v>
      </c>
      <c r="B11" s="14">
        <v>10.0</v>
      </c>
      <c r="C11" s="17" t="s">
        <v>37</v>
      </c>
      <c r="D11" s="18" t="s">
        <v>41</v>
      </c>
      <c r="E11" s="2" t="s">
        <v>41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12.0</v>
      </c>
    </row>
    <row r="12">
      <c r="A12" s="17" t="s">
        <v>159</v>
      </c>
      <c r="B12" s="14">
        <v>12.0</v>
      </c>
      <c r="C12" s="17" t="s">
        <v>48</v>
      </c>
      <c r="D12" s="18" t="s">
        <v>41</v>
      </c>
      <c r="E12" s="2" t="s">
        <v>39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14.0</v>
      </c>
    </row>
    <row r="13">
      <c r="A13" s="17" t="s">
        <v>160</v>
      </c>
      <c r="B13" s="14">
        <v>10.0</v>
      </c>
      <c r="C13" s="17" t="s">
        <v>37</v>
      </c>
      <c r="D13" s="18" t="s">
        <v>41</v>
      </c>
      <c r="E13" s="2" t="s">
        <v>41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12.0</v>
      </c>
    </row>
    <row r="14">
      <c r="A14" s="17" t="s">
        <v>161</v>
      </c>
      <c r="B14" s="14">
        <v>12.0</v>
      </c>
      <c r="C14" s="17" t="s">
        <v>37</v>
      </c>
      <c r="D14" s="18" t="s">
        <v>38</v>
      </c>
      <c r="E14" s="2" t="s">
        <v>38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12.0</v>
      </c>
    </row>
    <row r="15">
      <c r="A15" s="17" t="s">
        <v>162</v>
      </c>
      <c r="B15" s="14">
        <v>12.0</v>
      </c>
      <c r="C15" s="17" t="s">
        <v>37</v>
      </c>
      <c r="D15" s="18" t="s">
        <v>41</v>
      </c>
      <c r="E15" s="2" t="s">
        <v>41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12.0</v>
      </c>
    </row>
    <row r="16">
      <c r="A16" s="17" t="s">
        <v>163</v>
      </c>
      <c r="B16" s="14">
        <v>10.0</v>
      </c>
      <c r="C16" s="17" t="s">
        <v>37</v>
      </c>
      <c r="D16" s="18" t="s">
        <v>41</v>
      </c>
      <c r="E16" s="2" t="s">
        <v>41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10.0</v>
      </c>
    </row>
    <row r="17">
      <c r="A17" s="17" t="s">
        <v>164</v>
      </c>
      <c r="B17" s="14">
        <v>10.0</v>
      </c>
      <c r="C17" s="17" t="s">
        <v>37</v>
      </c>
      <c r="D17" s="18" t="s">
        <v>41</v>
      </c>
      <c r="E17" s="2" t="s">
        <v>41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10.0</v>
      </c>
    </row>
    <row r="18">
      <c r="A18" s="17" t="s">
        <v>165</v>
      </c>
      <c r="B18" s="14">
        <v>10.0</v>
      </c>
      <c r="C18" s="17" t="s">
        <v>37</v>
      </c>
      <c r="D18" s="18" t="s">
        <v>41</v>
      </c>
      <c r="E18" s="2" t="s">
        <v>41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10.0</v>
      </c>
    </row>
    <row r="19">
      <c r="A19" s="17" t="s">
        <v>166</v>
      </c>
      <c r="B19" s="14">
        <v>10.0</v>
      </c>
      <c r="C19" s="17" t="s">
        <v>37</v>
      </c>
      <c r="D19" s="18" t="s">
        <v>39</v>
      </c>
      <c r="E19" s="2" t="s">
        <v>41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10.0</v>
      </c>
    </row>
    <row r="20">
      <c r="A20" s="17" t="s">
        <v>167</v>
      </c>
      <c r="B20" s="14">
        <v>10.0</v>
      </c>
      <c r="C20" s="17" t="s">
        <v>37</v>
      </c>
      <c r="D20" s="18" t="s">
        <v>41</v>
      </c>
      <c r="E20" s="2" t="s">
        <v>41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10.0</v>
      </c>
    </row>
    <row r="21">
      <c r="A21" s="17" t="s">
        <v>168</v>
      </c>
      <c r="B21" s="14">
        <v>10.0</v>
      </c>
      <c r="C21" s="17" t="s">
        <v>37</v>
      </c>
      <c r="D21" s="18" t="s">
        <v>41</v>
      </c>
      <c r="E21" s="2" t="s">
        <v>41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12.0</v>
      </c>
    </row>
    <row r="22">
      <c r="A22" s="12" t="s">
        <v>169</v>
      </c>
      <c r="B22" s="14">
        <v>12.0</v>
      </c>
      <c r="C22" s="12" t="s">
        <v>37</v>
      </c>
      <c r="D22" s="18" t="s">
        <v>41</v>
      </c>
      <c r="E22" s="2" t="s">
        <v>41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12.0</v>
      </c>
    </row>
    <row r="23">
      <c r="A23" s="17" t="s">
        <v>170</v>
      </c>
      <c r="B23" s="14">
        <v>15.0</v>
      </c>
      <c r="C23" s="12" t="s">
        <v>37</v>
      </c>
      <c r="D23" s="18" t="s">
        <v>41</v>
      </c>
      <c r="E23" s="2" t="s">
        <v>41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15.0</v>
      </c>
    </row>
    <row r="24">
      <c r="A24" s="12" t="s">
        <v>171</v>
      </c>
      <c r="B24" s="14">
        <v>12.0</v>
      </c>
      <c r="C24" s="12" t="s">
        <v>37</v>
      </c>
      <c r="D24" s="18" t="s">
        <v>41</v>
      </c>
      <c r="E24" s="2" t="s">
        <v>41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13.0</v>
      </c>
    </row>
    <row r="25">
      <c r="A25" s="12" t="s">
        <v>172</v>
      </c>
      <c r="B25" s="14">
        <v>12.0</v>
      </c>
      <c r="C25" s="12" t="s">
        <v>37</v>
      </c>
      <c r="D25" s="18" t="s">
        <v>41</v>
      </c>
      <c r="E25" s="2" t="s">
        <v>41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8.0</v>
      </c>
    </row>
    <row r="26">
      <c r="A26" s="12" t="s">
        <v>173</v>
      </c>
      <c r="B26" s="14">
        <v>12.0</v>
      </c>
      <c r="C26" s="12" t="s">
        <v>37</v>
      </c>
      <c r="D26" s="18" t="s">
        <v>41</v>
      </c>
      <c r="E26" s="2" t="s">
        <v>41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12.0</v>
      </c>
    </row>
    <row r="27">
      <c r="A27" s="12" t="s">
        <v>174</v>
      </c>
      <c r="B27" s="14">
        <v>10.0</v>
      </c>
      <c r="C27" s="12" t="s">
        <v>37</v>
      </c>
      <c r="D27" s="18" t="s">
        <v>41</v>
      </c>
      <c r="E27" s="2" t="s">
        <v>41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">
        <v>12.0</v>
      </c>
    </row>
    <row r="28">
      <c r="A28" s="12" t="s">
        <v>175</v>
      </c>
      <c r="B28" s="14">
        <v>10.0</v>
      </c>
      <c r="C28" s="12" t="s">
        <v>37</v>
      </c>
      <c r="D28" s="18" t="s">
        <v>41</v>
      </c>
      <c r="E28" s="2" t="s">
        <v>41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">
        <v>12.0</v>
      </c>
    </row>
    <row r="29">
      <c r="A29" s="12" t="s">
        <v>176</v>
      </c>
      <c r="B29" s="14">
        <v>14.0</v>
      </c>
      <c r="C29" s="12" t="s">
        <v>37</v>
      </c>
      <c r="D29" s="18" t="s">
        <v>39</v>
      </c>
      <c r="E29" s="2" t="s">
        <v>39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">
        <v>14.0</v>
      </c>
    </row>
    <row r="30">
      <c r="A30" s="16" t="s">
        <v>177</v>
      </c>
      <c r="B30" s="18">
        <v>12.0</v>
      </c>
      <c r="C30" s="16" t="s">
        <v>37</v>
      </c>
      <c r="D30" s="18" t="s">
        <v>38</v>
      </c>
      <c r="E30" s="2" t="s">
        <v>39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">
        <v>12.0</v>
      </c>
    </row>
    <row r="31">
      <c r="A31" s="12" t="s">
        <v>178</v>
      </c>
      <c r="B31" s="14">
        <v>15.0</v>
      </c>
      <c r="C31" s="12" t="s">
        <v>48</v>
      </c>
      <c r="D31" s="18" t="s">
        <v>41</v>
      </c>
      <c r="E31" s="2" t="s">
        <v>41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8">
        <v>15.0</v>
      </c>
    </row>
    <row r="32">
      <c r="A32" s="16" t="s">
        <v>179</v>
      </c>
      <c r="B32" s="18">
        <v>10.0</v>
      </c>
      <c r="C32" s="16" t="s">
        <v>37</v>
      </c>
      <c r="D32" s="18" t="s">
        <v>41</v>
      </c>
      <c r="E32" s="2" t="s">
        <v>41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8">
        <v>10.0</v>
      </c>
    </row>
    <row r="33">
      <c r="A33" s="12" t="s">
        <v>180</v>
      </c>
      <c r="B33" s="14">
        <v>7.0</v>
      </c>
      <c r="C33" s="12" t="s">
        <v>37</v>
      </c>
      <c r="D33" s="18" t="s">
        <v>41</v>
      </c>
      <c r="E33" s="2" t="s">
        <v>41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8">
        <v>8.0</v>
      </c>
    </row>
    <row r="34">
      <c r="A34" s="12" t="s">
        <v>181</v>
      </c>
      <c r="B34" s="14">
        <v>7.0</v>
      </c>
      <c r="C34" s="12" t="s">
        <v>37</v>
      </c>
      <c r="D34" s="18" t="s">
        <v>41</v>
      </c>
      <c r="E34" s="2" t="s">
        <v>41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8">
        <v>8.0</v>
      </c>
    </row>
    <row r="35">
      <c r="A35" s="12" t="s">
        <v>182</v>
      </c>
      <c r="B35" s="14">
        <v>7.0</v>
      </c>
      <c r="C35" s="12" t="s">
        <v>37</v>
      </c>
      <c r="D35" s="18" t="s">
        <v>41</v>
      </c>
      <c r="E35" s="2" t="s">
        <v>41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8">
        <v>8.0</v>
      </c>
    </row>
    <row r="36">
      <c r="A36" s="12" t="s">
        <v>183</v>
      </c>
      <c r="B36" s="14">
        <v>7.0</v>
      </c>
      <c r="C36" s="12" t="s">
        <v>37</v>
      </c>
      <c r="D36" s="18" t="s">
        <v>41</v>
      </c>
      <c r="E36" s="2" t="s">
        <v>41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8">
        <v>8.0</v>
      </c>
    </row>
    <row r="37">
      <c r="A37" s="12" t="s">
        <v>184</v>
      </c>
      <c r="B37" s="18">
        <v>12.0</v>
      </c>
      <c r="C37" s="12" t="s">
        <v>37</v>
      </c>
      <c r="D37" s="18" t="s">
        <v>41</v>
      </c>
      <c r="E37" s="2" t="s">
        <v>41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8">
        <v>13.0</v>
      </c>
    </row>
    <row r="38">
      <c r="A38" s="2" t="s">
        <v>185</v>
      </c>
      <c r="B38" s="30">
        <v>30.0</v>
      </c>
      <c r="C38" s="12" t="s">
        <v>37</v>
      </c>
      <c r="D38" s="18" t="s">
        <v>41</v>
      </c>
      <c r="E38" s="2" t="s">
        <v>39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8">
        <v>32.0</v>
      </c>
    </row>
    <row r="39">
      <c r="A39" s="2" t="s">
        <v>186</v>
      </c>
      <c r="B39" s="30">
        <v>30.0</v>
      </c>
      <c r="C39" s="12" t="s">
        <v>37</v>
      </c>
      <c r="D39" s="18" t="s">
        <v>41</v>
      </c>
      <c r="E39" s="2" t="s">
        <v>41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8">
        <v>32.0</v>
      </c>
    </row>
    <row r="40">
      <c r="A40" s="2" t="s">
        <v>187</v>
      </c>
      <c r="B40" s="30">
        <v>15.0</v>
      </c>
      <c r="C40" s="12" t="s">
        <v>37</v>
      </c>
      <c r="D40" s="18" t="s">
        <v>41</v>
      </c>
      <c r="E40" s="2" t="s">
        <v>38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8">
        <v>17.0</v>
      </c>
    </row>
    <row r="41" ht="19.5" customHeight="1">
      <c r="A41" s="2" t="s">
        <v>188</v>
      </c>
      <c r="B41" s="30">
        <v>20.0</v>
      </c>
      <c r="C41" s="12" t="s">
        <v>37</v>
      </c>
      <c r="D41" s="18" t="s">
        <v>41</v>
      </c>
      <c r="E41" s="2" t="s">
        <v>38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8">
        <v>22.0</v>
      </c>
    </row>
    <row r="42">
      <c r="Q42" s="20"/>
    </row>
    <row r="43">
      <c r="B43" s="21">
        <f>sum(B2:B41)</f>
        <v>483</v>
      </c>
      <c r="Q43" s="20">
        <f>SUM(Q2:Q42)</f>
        <v>521</v>
      </c>
    </row>
  </sheetData>
  <dataValidations>
    <dataValidation type="list" allowBlank="1" showErrorMessage="1" sqref="D2:P41">
      <formula1>"skipped,paid,owing,fronts"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5.5"/>
    <col customWidth="1" min="5" max="5" width="5.38"/>
    <col customWidth="1" min="6" max="6" width="4.63"/>
    <col customWidth="1" min="7" max="7" width="5.63"/>
    <col customWidth="1" min="8" max="9" width="4.63"/>
    <col customWidth="1" min="10" max="10" width="5.38"/>
    <col customWidth="1" min="11" max="11" width="6.5"/>
    <col customWidth="1" min="12" max="12" width="5.13"/>
    <col customWidth="1" min="13" max="13" width="6.13"/>
    <col customWidth="1" min="14" max="14" width="4.88"/>
    <col customWidth="1" min="15" max="15" width="5.5"/>
    <col customWidth="1" min="16" max="16" width="5.75"/>
    <col customWidth="1" min="17" max="17" width="18.0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2" t="s">
        <v>189</v>
      </c>
      <c r="B2" s="14">
        <v>10.0</v>
      </c>
      <c r="C2" s="17" t="s">
        <v>37</v>
      </c>
      <c r="D2" s="18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8">
        <v>12.0</v>
      </c>
    </row>
    <row r="3">
      <c r="A3" s="17" t="s">
        <v>190</v>
      </c>
      <c r="B3" s="14">
        <v>15.0</v>
      </c>
      <c r="C3" s="17" t="s">
        <v>37</v>
      </c>
      <c r="D3" s="18" t="s">
        <v>41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>
        <v>15.0</v>
      </c>
    </row>
    <row r="4">
      <c r="A4" s="12" t="s">
        <v>191</v>
      </c>
      <c r="B4" s="14">
        <v>12.0</v>
      </c>
      <c r="C4" s="17" t="s">
        <v>37</v>
      </c>
      <c r="D4" s="18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8">
        <v>13.0</v>
      </c>
    </row>
    <row r="5">
      <c r="A5" s="12" t="s">
        <v>192</v>
      </c>
      <c r="B5" s="14">
        <v>17.0</v>
      </c>
      <c r="C5" s="17" t="s">
        <v>37</v>
      </c>
      <c r="D5" s="18" t="s">
        <v>41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8">
        <v>18.0</v>
      </c>
    </row>
    <row r="6">
      <c r="A6" s="12" t="s">
        <v>193</v>
      </c>
      <c r="B6" s="18">
        <v>15.0</v>
      </c>
      <c r="C6" s="17" t="s">
        <v>37</v>
      </c>
      <c r="D6" s="18" t="s">
        <v>41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8">
        <v>17.0</v>
      </c>
    </row>
    <row r="7">
      <c r="A7" s="17" t="s">
        <v>194</v>
      </c>
      <c r="B7" s="14">
        <v>12.0</v>
      </c>
      <c r="C7" s="17" t="s">
        <v>37</v>
      </c>
      <c r="D7" s="18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>
        <v>13.0</v>
      </c>
    </row>
    <row r="8">
      <c r="A8" s="17" t="s">
        <v>195</v>
      </c>
      <c r="B8" s="14">
        <v>5.0</v>
      </c>
      <c r="C8" s="17" t="s">
        <v>37</v>
      </c>
      <c r="D8" s="18" t="s">
        <v>41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8">
        <v>6.0</v>
      </c>
    </row>
    <row r="9">
      <c r="A9" s="17" t="s">
        <v>196</v>
      </c>
      <c r="B9" s="14">
        <v>5.0</v>
      </c>
      <c r="C9" s="17" t="s">
        <v>37</v>
      </c>
      <c r="D9" s="18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8">
        <v>6.0</v>
      </c>
    </row>
    <row r="10">
      <c r="A10" s="17" t="s">
        <v>197</v>
      </c>
      <c r="B10" s="14">
        <v>14.0</v>
      </c>
      <c r="C10" s="17" t="s">
        <v>37</v>
      </c>
      <c r="D10" s="18" t="s">
        <v>41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8">
        <v>15.0</v>
      </c>
    </row>
    <row r="11">
      <c r="A11" s="17" t="s">
        <v>198</v>
      </c>
      <c r="B11" s="14">
        <v>15.0</v>
      </c>
      <c r="C11" s="17" t="s">
        <v>37</v>
      </c>
      <c r="D11" s="18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15.0</v>
      </c>
    </row>
    <row r="12">
      <c r="A12" s="16" t="s">
        <v>199</v>
      </c>
      <c r="B12" s="18">
        <v>12.0</v>
      </c>
      <c r="C12" s="16" t="s">
        <v>37</v>
      </c>
      <c r="D12" s="18" t="s">
        <v>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12.0</v>
      </c>
    </row>
    <row r="13">
      <c r="A13" s="17" t="s">
        <v>200</v>
      </c>
      <c r="B13" s="14">
        <v>10.0</v>
      </c>
      <c r="C13" s="17" t="s">
        <v>37</v>
      </c>
      <c r="D13" s="18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12.0</v>
      </c>
    </row>
    <row r="14">
      <c r="A14" s="17" t="s">
        <v>201</v>
      </c>
      <c r="B14" s="14">
        <v>12.0</v>
      </c>
      <c r="C14" s="17" t="s">
        <v>37</v>
      </c>
      <c r="D14" s="18" t="s">
        <v>41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14.0</v>
      </c>
    </row>
    <row r="15">
      <c r="A15" s="17" t="s">
        <v>202</v>
      </c>
      <c r="B15" s="14">
        <v>8.0</v>
      </c>
      <c r="C15" s="17" t="s">
        <v>37</v>
      </c>
      <c r="D15" s="18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10.0</v>
      </c>
    </row>
    <row r="16">
      <c r="A16" s="17" t="s">
        <v>203</v>
      </c>
      <c r="B16" s="14">
        <v>14.0</v>
      </c>
      <c r="C16" s="17" t="s">
        <v>37</v>
      </c>
      <c r="D16" s="18" t="s">
        <v>41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15.0</v>
      </c>
    </row>
    <row r="17">
      <c r="A17" s="12" t="s">
        <v>204</v>
      </c>
      <c r="B17" s="14">
        <v>8.0</v>
      </c>
      <c r="C17" s="16" t="s">
        <v>37</v>
      </c>
      <c r="D17" s="18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12.0</v>
      </c>
    </row>
    <row r="18">
      <c r="A18" s="12" t="s">
        <v>205</v>
      </c>
      <c r="B18" s="14">
        <v>12.0</v>
      </c>
      <c r="C18" s="17" t="s">
        <v>37</v>
      </c>
      <c r="D18" s="18" t="s">
        <v>41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12.0</v>
      </c>
    </row>
    <row r="19">
      <c r="A19" s="12" t="s">
        <v>206</v>
      </c>
      <c r="B19" s="14">
        <v>10.0</v>
      </c>
      <c r="C19" s="17" t="s">
        <v>37</v>
      </c>
      <c r="D19" s="18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12.0</v>
      </c>
    </row>
    <row r="20">
      <c r="A20" s="12" t="s">
        <v>207</v>
      </c>
      <c r="B20" s="14">
        <v>10.0</v>
      </c>
      <c r="C20" s="17" t="s">
        <v>37</v>
      </c>
      <c r="D20" s="18" t="s">
        <v>41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12.0</v>
      </c>
    </row>
    <row r="21">
      <c r="A21" s="2" t="s">
        <v>208</v>
      </c>
      <c r="B21" s="30">
        <v>40.0</v>
      </c>
      <c r="C21" s="2" t="s">
        <v>37</v>
      </c>
      <c r="D21" s="18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40.0</v>
      </c>
    </row>
    <row r="22">
      <c r="A22" s="2" t="s">
        <v>209</v>
      </c>
      <c r="B22" s="30">
        <v>20.0</v>
      </c>
      <c r="C22" s="17" t="s">
        <v>37</v>
      </c>
      <c r="D22" s="18" t="s">
        <v>41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20.0</v>
      </c>
    </row>
    <row r="23">
      <c r="A23" s="2" t="s">
        <v>210</v>
      </c>
      <c r="B23" s="30">
        <v>15.0</v>
      </c>
      <c r="C23" s="2" t="s">
        <v>37</v>
      </c>
      <c r="D23" s="18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15.0</v>
      </c>
    </row>
    <row r="24">
      <c r="A24" s="2" t="s">
        <v>211</v>
      </c>
      <c r="B24" s="30">
        <v>20.0</v>
      </c>
      <c r="C24" s="17" t="s">
        <v>37</v>
      </c>
      <c r="D24" s="18" t="s">
        <v>41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20.0</v>
      </c>
    </row>
    <row r="25">
      <c r="A25" s="2" t="s">
        <v>212</v>
      </c>
      <c r="B25" s="30">
        <v>45.0</v>
      </c>
      <c r="C25" s="2" t="s">
        <v>37</v>
      </c>
      <c r="D25" s="18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45.0</v>
      </c>
    </row>
    <row r="26">
      <c r="A26" s="2" t="s">
        <v>213</v>
      </c>
      <c r="B26" s="30">
        <v>15.0</v>
      </c>
      <c r="C26" s="2" t="s">
        <v>37</v>
      </c>
      <c r="D26" s="18" t="s">
        <v>41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15.0</v>
      </c>
    </row>
    <row r="27">
      <c r="Q27" s="20"/>
    </row>
    <row r="28">
      <c r="B28" s="21">
        <f>sum(B4:B26)</f>
        <v>346</v>
      </c>
      <c r="Q28" s="20"/>
    </row>
    <row r="29">
      <c r="Q29" s="20">
        <f>SUM(Q2:Q28)</f>
        <v>396</v>
      </c>
    </row>
  </sheetData>
  <dataValidations>
    <dataValidation type="list" allowBlank="1" showErrorMessage="1" sqref="D2:P26">
      <formula1>"skipped,paid,owing,0"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4" max="4" width="5.5"/>
    <col customWidth="1" min="5" max="5" width="5.38"/>
    <col customWidth="1" min="6" max="6" width="4.63"/>
    <col customWidth="1" min="7" max="7" width="5.63"/>
    <col customWidth="1" min="8" max="9" width="4.63"/>
    <col customWidth="1" min="10" max="10" width="5.38"/>
    <col customWidth="1" min="11" max="11" width="6.5"/>
    <col customWidth="1" min="12" max="12" width="5.13"/>
    <col customWidth="1" min="13" max="13" width="6.13"/>
    <col customWidth="1" min="14" max="14" width="4.88"/>
    <col customWidth="1" min="15" max="15" width="5.5"/>
    <col customWidth="1" min="16" max="16" width="6.75"/>
    <col customWidth="1" min="17" max="17" width="18.13"/>
  </cols>
  <sheetData>
    <row r="1">
      <c r="A1" s="7"/>
      <c r="B1" s="1"/>
      <c r="C1" s="1" t="s">
        <v>214</v>
      </c>
      <c r="D1" s="1"/>
      <c r="E1" s="1"/>
      <c r="F1" s="1"/>
    </row>
    <row r="2">
      <c r="A2" s="7" t="s">
        <v>21</v>
      </c>
      <c r="B2" s="1" t="s">
        <v>22</v>
      </c>
      <c r="C2" s="1" t="s">
        <v>23</v>
      </c>
      <c r="D2" s="9">
        <v>45650.0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31" t="s">
        <v>20</v>
      </c>
    </row>
    <row r="3">
      <c r="A3" s="17" t="s">
        <v>215</v>
      </c>
      <c r="B3" s="14">
        <v>10.0</v>
      </c>
      <c r="C3" s="17" t="s">
        <v>216</v>
      </c>
      <c r="D3" s="18" t="s">
        <v>41</v>
      </c>
      <c r="E3" s="2" t="s">
        <v>41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31">
        <v>12.0</v>
      </c>
    </row>
    <row r="4">
      <c r="A4" s="12" t="s">
        <v>217</v>
      </c>
      <c r="B4" s="14">
        <v>7.0</v>
      </c>
      <c r="C4" s="17" t="s">
        <v>37</v>
      </c>
      <c r="D4" s="18" t="s">
        <v>41</v>
      </c>
      <c r="E4" s="2" t="s">
        <v>41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31">
        <v>8.0</v>
      </c>
    </row>
    <row r="5">
      <c r="A5" s="17" t="s">
        <v>218</v>
      </c>
      <c r="B5" s="14">
        <v>10.0</v>
      </c>
      <c r="C5" s="17" t="s">
        <v>37</v>
      </c>
      <c r="D5" s="18" t="s">
        <v>41</v>
      </c>
      <c r="E5" s="2" t="s">
        <v>38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31">
        <v>12.0</v>
      </c>
    </row>
    <row r="6">
      <c r="A6" s="17" t="s">
        <v>219</v>
      </c>
      <c r="B6" s="14">
        <v>17.0</v>
      </c>
      <c r="C6" s="17" t="s">
        <v>37</v>
      </c>
      <c r="D6" s="18" t="s">
        <v>41</v>
      </c>
      <c r="E6" s="2" t="s">
        <v>38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1">
        <v>17.0</v>
      </c>
    </row>
    <row r="7">
      <c r="A7" s="17" t="s">
        <v>220</v>
      </c>
      <c r="B7" s="14">
        <v>10.0</v>
      </c>
      <c r="C7" s="17" t="s">
        <v>37</v>
      </c>
      <c r="D7" s="18" t="s">
        <v>41</v>
      </c>
      <c r="E7" s="2" t="s">
        <v>38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1">
        <v>12.0</v>
      </c>
    </row>
    <row r="8">
      <c r="A8" s="17" t="s">
        <v>221</v>
      </c>
      <c r="B8" s="14">
        <v>13.0</v>
      </c>
      <c r="C8" s="17" t="s">
        <v>37</v>
      </c>
      <c r="D8" s="18" t="s">
        <v>41</v>
      </c>
      <c r="E8" s="2" t="s">
        <v>38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31">
        <v>15.0</v>
      </c>
    </row>
    <row r="9">
      <c r="A9" s="17" t="s">
        <v>222</v>
      </c>
      <c r="B9" s="14">
        <v>10.0</v>
      </c>
      <c r="C9" s="17" t="s">
        <v>37</v>
      </c>
      <c r="D9" s="18" t="s">
        <v>41</v>
      </c>
      <c r="E9" s="2" t="s">
        <v>38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31">
        <v>12.0</v>
      </c>
    </row>
    <row r="10">
      <c r="A10" s="12" t="s">
        <v>223</v>
      </c>
      <c r="B10" s="14">
        <v>30.0</v>
      </c>
      <c r="C10" s="17" t="s">
        <v>37</v>
      </c>
      <c r="D10" s="18" t="s">
        <v>41</v>
      </c>
      <c r="E10" s="2" t="s">
        <v>41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31">
        <v>35.0</v>
      </c>
    </row>
    <row r="11">
      <c r="A11" s="17" t="s">
        <v>224</v>
      </c>
      <c r="B11" s="14">
        <v>25.0</v>
      </c>
      <c r="C11" s="16" t="s">
        <v>48</v>
      </c>
      <c r="D11" s="18" t="s">
        <v>39</v>
      </c>
      <c r="E11" s="2" t="s">
        <v>38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31">
        <v>27.0</v>
      </c>
    </row>
    <row r="12">
      <c r="A12" s="17" t="s">
        <v>225</v>
      </c>
      <c r="B12" s="14">
        <v>5.0</v>
      </c>
      <c r="C12" s="16" t="s">
        <v>37</v>
      </c>
      <c r="D12" s="18" t="s">
        <v>41</v>
      </c>
      <c r="E12" s="2" t="s">
        <v>41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31">
        <v>5.0</v>
      </c>
    </row>
    <row r="13">
      <c r="A13" s="17" t="s">
        <v>226</v>
      </c>
      <c r="B13" s="14">
        <v>15.0</v>
      </c>
      <c r="C13" s="17" t="s">
        <v>37</v>
      </c>
      <c r="D13" s="18" t="s">
        <v>41</v>
      </c>
      <c r="E13" s="2" t="s">
        <v>41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31">
        <v>15.0</v>
      </c>
    </row>
    <row r="14">
      <c r="A14" s="17" t="s">
        <v>227</v>
      </c>
      <c r="B14" s="14">
        <v>20.0</v>
      </c>
      <c r="C14" s="17" t="s">
        <v>37</v>
      </c>
      <c r="D14" s="18" t="s">
        <v>39</v>
      </c>
      <c r="E14" s="2" t="s">
        <v>41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1">
        <v>20.0</v>
      </c>
    </row>
    <row r="15">
      <c r="A15" s="17" t="s">
        <v>228</v>
      </c>
      <c r="B15" s="14">
        <v>15.0</v>
      </c>
      <c r="C15" s="16" t="s">
        <v>48</v>
      </c>
      <c r="D15" s="18" t="s">
        <v>39</v>
      </c>
      <c r="E15" s="2" t="s">
        <v>41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1">
        <v>15.0</v>
      </c>
    </row>
    <row r="16">
      <c r="A16" s="12" t="s">
        <v>229</v>
      </c>
      <c r="B16" s="14">
        <v>5.0</v>
      </c>
      <c r="C16" s="16" t="s">
        <v>37</v>
      </c>
      <c r="D16" s="18" t="s">
        <v>41</v>
      </c>
      <c r="E16" s="2" t="s">
        <v>41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31">
        <v>5.0</v>
      </c>
    </row>
    <row r="17">
      <c r="A17" s="12" t="s">
        <v>230</v>
      </c>
      <c r="B17" s="14">
        <v>15.0</v>
      </c>
      <c r="C17" s="12" t="s">
        <v>37</v>
      </c>
      <c r="D17" s="18" t="s">
        <v>41</v>
      </c>
      <c r="E17" s="2" t="s">
        <v>41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1">
        <v>15.0</v>
      </c>
    </row>
    <row r="18">
      <c r="A18" s="12" t="s">
        <v>231</v>
      </c>
      <c r="B18" s="14">
        <v>25.0</v>
      </c>
      <c r="C18" s="16" t="s">
        <v>48</v>
      </c>
      <c r="D18" s="18" t="s">
        <v>39</v>
      </c>
      <c r="E18" s="2" t="s">
        <v>38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31">
        <v>25.0</v>
      </c>
    </row>
    <row r="19">
      <c r="Q19" s="32"/>
    </row>
    <row r="20">
      <c r="B20" s="13">
        <f>SUM(B2:B18)</f>
        <v>232</v>
      </c>
      <c r="Q20" s="32">
        <f>SUM(Q2:Q18)</f>
        <v>250</v>
      </c>
    </row>
  </sheetData>
  <dataValidations>
    <dataValidation type="list" allowBlank="1" showErrorMessage="1" sqref="D3:P18">
      <formula1>"skipped,paid,owing,0"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9.75"/>
    <col customWidth="1" min="4" max="4" width="5.5"/>
    <col customWidth="1" min="5" max="5" width="5.38"/>
    <col customWidth="1" min="6" max="6" width="4.63"/>
    <col customWidth="1" min="7" max="7" width="5.63"/>
    <col customWidth="1" min="8" max="9" width="4.63"/>
    <col customWidth="1" min="10" max="10" width="5.38"/>
    <col customWidth="1" min="11" max="11" width="6.5"/>
    <col customWidth="1" min="12" max="12" width="5.13"/>
    <col customWidth="1" min="13" max="13" width="6.13"/>
    <col customWidth="1" min="14" max="14" width="4.88"/>
    <col customWidth="1" min="15" max="16" width="5.5"/>
    <col customWidth="1" min="17" max="17" width="17.38"/>
  </cols>
  <sheetData>
    <row r="1">
      <c r="A1" s="7"/>
      <c r="B1" s="1"/>
      <c r="C1" s="1"/>
      <c r="D1" s="1"/>
      <c r="E1" s="1"/>
      <c r="F1" s="1"/>
    </row>
    <row r="2">
      <c r="A2" s="7" t="s">
        <v>21</v>
      </c>
      <c r="B2" s="1" t="s">
        <v>22</v>
      </c>
      <c r="D2" s="9">
        <v>45650.0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31" t="s">
        <v>20</v>
      </c>
    </row>
    <row r="3">
      <c r="A3" s="17" t="s">
        <v>232</v>
      </c>
      <c r="B3" s="14">
        <v>25.0</v>
      </c>
      <c r="C3" s="16" t="s">
        <v>48</v>
      </c>
      <c r="D3" s="18" t="s">
        <v>41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31">
        <v>25.0</v>
      </c>
    </row>
    <row r="4">
      <c r="A4" s="17" t="s">
        <v>233</v>
      </c>
      <c r="B4" s="14">
        <v>12.0</v>
      </c>
      <c r="C4" s="16" t="s">
        <v>37</v>
      </c>
      <c r="D4" s="18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31">
        <v>14.0</v>
      </c>
    </row>
    <row r="5">
      <c r="A5" s="17" t="s">
        <v>234</v>
      </c>
      <c r="B5" s="14">
        <v>12.0</v>
      </c>
      <c r="C5" s="16" t="s">
        <v>37</v>
      </c>
      <c r="D5" s="18" t="s">
        <v>41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31">
        <v>14.0</v>
      </c>
    </row>
    <row r="6">
      <c r="A6" s="17" t="s">
        <v>235</v>
      </c>
      <c r="B6" s="14">
        <v>12.0</v>
      </c>
      <c r="C6" s="17" t="s">
        <v>37</v>
      </c>
      <c r="D6" s="18" t="s">
        <v>41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1">
        <v>14.0</v>
      </c>
    </row>
    <row r="7">
      <c r="A7" s="17" t="s">
        <v>236</v>
      </c>
      <c r="B7" s="14">
        <v>15.0</v>
      </c>
      <c r="C7" s="17" t="s">
        <v>37</v>
      </c>
      <c r="D7" s="18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1">
        <v>17.0</v>
      </c>
    </row>
    <row r="8">
      <c r="A8" s="17" t="s">
        <v>237</v>
      </c>
      <c r="B8" s="14">
        <v>18.0</v>
      </c>
      <c r="C8" s="17" t="s">
        <v>37</v>
      </c>
      <c r="D8" s="18" t="s">
        <v>39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31">
        <v>20.0</v>
      </c>
    </row>
    <row r="9">
      <c r="A9" s="17" t="s">
        <v>238</v>
      </c>
      <c r="B9" s="14">
        <v>19.0</v>
      </c>
      <c r="C9" s="17" t="s">
        <v>37</v>
      </c>
      <c r="D9" s="18" t="s">
        <v>38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31">
        <v>20.0</v>
      </c>
    </row>
    <row r="10">
      <c r="A10" s="16" t="s">
        <v>239</v>
      </c>
      <c r="B10" s="18">
        <v>25.0</v>
      </c>
      <c r="C10" s="16" t="s">
        <v>240</v>
      </c>
      <c r="D10" s="18" t="s">
        <v>41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31">
        <v>25.0</v>
      </c>
    </row>
    <row r="11">
      <c r="A11" s="17" t="s">
        <v>241</v>
      </c>
      <c r="B11" s="14">
        <v>25.0</v>
      </c>
      <c r="C11" s="17" t="s">
        <v>37</v>
      </c>
      <c r="D11" s="18" t="s">
        <v>39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31">
        <v>25.0</v>
      </c>
    </row>
    <row r="12">
      <c r="A12" s="17" t="s">
        <v>242</v>
      </c>
      <c r="B12" s="18">
        <v>17.0</v>
      </c>
      <c r="C12" s="16" t="s">
        <v>37</v>
      </c>
      <c r="D12" s="18" t="s">
        <v>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31">
        <v>18.0</v>
      </c>
    </row>
    <row r="13">
      <c r="A13" s="17" t="s">
        <v>243</v>
      </c>
      <c r="B13" s="14">
        <v>10.0</v>
      </c>
      <c r="C13" s="17" t="s">
        <v>37</v>
      </c>
      <c r="D13" s="18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31">
        <v>10.0</v>
      </c>
    </row>
    <row r="14">
      <c r="A14" s="17" t="s">
        <v>244</v>
      </c>
      <c r="B14" s="14">
        <v>10.0</v>
      </c>
      <c r="C14" s="17" t="s">
        <v>37</v>
      </c>
      <c r="D14" s="18" t="s">
        <v>41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1">
        <v>10.0</v>
      </c>
    </row>
    <row r="15">
      <c r="A15" s="17" t="s">
        <v>245</v>
      </c>
      <c r="B15" s="14">
        <v>10.0</v>
      </c>
      <c r="C15" s="17" t="s">
        <v>37</v>
      </c>
      <c r="D15" s="18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1">
        <v>10.0</v>
      </c>
    </row>
    <row r="16">
      <c r="A16" s="17" t="s">
        <v>246</v>
      </c>
      <c r="B16" s="14">
        <v>10.0</v>
      </c>
      <c r="C16" s="17" t="s">
        <v>37</v>
      </c>
      <c r="D16" s="18" t="s">
        <v>41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31">
        <v>10.0</v>
      </c>
    </row>
    <row r="17">
      <c r="A17" s="17" t="s">
        <v>247</v>
      </c>
      <c r="B17" s="14">
        <v>12.0</v>
      </c>
      <c r="C17" s="17" t="s">
        <v>37</v>
      </c>
      <c r="D17" s="18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1">
        <v>13.0</v>
      </c>
    </row>
    <row r="18">
      <c r="A18" s="17" t="s">
        <v>248</v>
      </c>
      <c r="B18" s="14">
        <v>12.0</v>
      </c>
      <c r="C18" s="16" t="s">
        <v>48</v>
      </c>
      <c r="D18" s="18" t="s">
        <v>41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31">
        <v>14.0</v>
      </c>
    </row>
    <row r="19">
      <c r="A19" s="16" t="s">
        <v>249</v>
      </c>
      <c r="B19" s="18">
        <v>10.0</v>
      </c>
      <c r="C19" s="16" t="s">
        <v>37</v>
      </c>
      <c r="D19" s="18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31">
        <v>10.0</v>
      </c>
    </row>
    <row r="20">
      <c r="A20" s="16" t="s">
        <v>250</v>
      </c>
      <c r="B20" s="18">
        <v>12.0</v>
      </c>
      <c r="C20" s="16" t="s">
        <v>37</v>
      </c>
      <c r="D20" s="18" t="s">
        <v>41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31">
        <v>12.0</v>
      </c>
    </row>
    <row r="21">
      <c r="A21" s="17" t="s">
        <v>251</v>
      </c>
      <c r="B21" s="14">
        <v>20.0</v>
      </c>
      <c r="C21" s="16" t="s">
        <v>240</v>
      </c>
      <c r="D21" s="18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31">
        <v>20.0</v>
      </c>
    </row>
    <row r="22">
      <c r="A22" s="17" t="s">
        <v>252</v>
      </c>
      <c r="B22" s="14">
        <v>20.0</v>
      </c>
      <c r="C22" s="17" t="s">
        <v>37</v>
      </c>
      <c r="D22" s="18" t="s">
        <v>39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31">
        <v>20.0</v>
      </c>
    </row>
    <row r="23">
      <c r="A23" s="16" t="s">
        <v>253</v>
      </c>
      <c r="B23" s="14">
        <v>20.0</v>
      </c>
      <c r="C23" s="16" t="s">
        <v>37</v>
      </c>
      <c r="D23" s="18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31">
        <v>20.0</v>
      </c>
    </row>
    <row r="24">
      <c r="A24" s="17" t="s">
        <v>254</v>
      </c>
      <c r="B24" s="14">
        <v>15.0</v>
      </c>
      <c r="C24" s="17" t="s">
        <v>37</v>
      </c>
      <c r="D24" s="18" t="s">
        <v>41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31">
        <v>17.0</v>
      </c>
    </row>
    <row r="25">
      <c r="A25" s="17" t="s">
        <v>255</v>
      </c>
      <c r="B25" s="14">
        <v>10.0</v>
      </c>
      <c r="C25" s="12" t="s">
        <v>37</v>
      </c>
      <c r="D25" s="18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31">
        <v>12.0</v>
      </c>
    </row>
    <row r="26">
      <c r="A26" s="17" t="s">
        <v>256</v>
      </c>
      <c r="B26" s="14">
        <v>8.0</v>
      </c>
      <c r="C26" s="17" t="s">
        <v>37</v>
      </c>
      <c r="D26" s="18" t="s">
        <v>39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31">
        <v>10.0</v>
      </c>
    </row>
    <row r="27">
      <c r="A27" s="17" t="s">
        <v>257</v>
      </c>
      <c r="B27" s="14">
        <v>8.0</v>
      </c>
      <c r="C27" s="17" t="s">
        <v>37</v>
      </c>
      <c r="D27" s="18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31">
        <v>10.0</v>
      </c>
    </row>
    <row r="28">
      <c r="A28" s="17" t="s">
        <v>258</v>
      </c>
      <c r="B28" s="14">
        <v>15.0</v>
      </c>
      <c r="C28" s="17" t="s">
        <v>37</v>
      </c>
      <c r="D28" s="18" t="s">
        <v>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31">
        <v>15.0</v>
      </c>
    </row>
    <row r="29">
      <c r="A29" s="17" t="s">
        <v>259</v>
      </c>
      <c r="B29" s="14">
        <v>15.0</v>
      </c>
      <c r="C29" s="17" t="s">
        <v>37</v>
      </c>
      <c r="D29" s="18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31">
        <v>15.0</v>
      </c>
    </row>
    <row r="30">
      <c r="A30" s="17" t="s">
        <v>260</v>
      </c>
      <c r="B30" s="14">
        <v>10.0</v>
      </c>
      <c r="C30" s="17" t="s">
        <v>37</v>
      </c>
      <c r="D30" s="18" t="s">
        <v>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1">
        <v>12.0</v>
      </c>
    </row>
    <row r="31">
      <c r="A31" s="17" t="s">
        <v>261</v>
      </c>
      <c r="B31" s="14">
        <v>11.0</v>
      </c>
      <c r="C31" s="17" t="s">
        <v>37</v>
      </c>
      <c r="D31" s="18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31">
        <v>12.0</v>
      </c>
    </row>
    <row r="32">
      <c r="A32" s="17" t="s">
        <v>262</v>
      </c>
      <c r="B32" s="14">
        <v>20.0</v>
      </c>
      <c r="C32" s="17" t="s">
        <v>37</v>
      </c>
      <c r="D32" s="18" t="s">
        <v>41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31">
        <v>20.0</v>
      </c>
    </row>
    <row r="33">
      <c r="A33" s="17" t="s">
        <v>263</v>
      </c>
      <c r="B33" s="14">
        <v>12.0</v>
      </c>
      <c r="C33" s="17" t="s">
        <v>37</v>
      </c>
      <c r="D33" s="18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31">
        <v>14.0</v>
      </c>
    </row>
    <row r="34">
      <c r="D34" s="14"/>
      <c r="Q34" s="32"/>
    </row>
    <row r="35">
      <c r="D35" s="14"/>
      <c r="Q35" s="32"/>
    </row>
    <row r="36">
      <c r="B36" s="21">
        <f>SUM(B3:B33)</f>
        <v>450</v>
      </c>
      <c r="D36" s="14"/>
      <c r="Q36" s="32">
        <f>SUM(Q3:Q33)</f>
        <v>478</v>
      </c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</sheetData>
  <dataValidations>
    <dataValidation type="list" allowBlank="1" showErrorMessage="1" sqref="D3:P33">
      <formula1>"skipped,paid,owing,0"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4" max="4" width="5.5"/>
    <col customWidth="1" min="5" max="5" width="5.38"/>
    <col customWidth="1" min="6" max="6" width="4.63"/>
    <col customWidth="1" min="7" max="7" width="5.63"/>
    <col customWidth="1" min="8" max="9" width="4.63"/>
    <col customWidth="1" min="10" max="10" width="5.38"/>
    <col customWidth="1" min="11" max="11" width="6.5"/>
    <col customWidth="1" min="12" max="12" width="5.13"/>
    <col customWidth="1" min="13" max="13" width="6.13"/>
    <col customWidth="1" min="14" max="14" width="4.88"/>
    <col customWidth="1" min="15" max="15" width="5.5"/>
    <col customWidth="1" min="16" max="16" width="7.13"/>
    <col customWidth="1" min="17" max="17" width="19.0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7" t="s">
        <v>264</v>
      </c>
      <c r="B2" s="14">
        <v>10.0</v>
      </c>
      <c r="C2" s="12" t="s">
        <v>37</v>
      </c>
      <c r="D2" s="18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8">
        <v>12.0</v>
      </c>
    </row>
    <row r="3">
      <c r="A3" s="17" t="s">
        <v>265</v>
      </c>
      <c r="B3" s="14">
        <v>12.0</v>
      </c>
      <c r="C3" s="12" t="s">
        <v>37</v>
      </c>
      <c r="D3" s="18" t="s">
        <v>41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>
        <v>12.0</v>
      </c>
    </row>
    <row r="4">
      <c r="A4" s="16" t="s">
        <v>266</v>
      </c>
      <c r="B4" s="18">
        <v>15.0</v>
      </c>
      <c r="C4" s="16" t="s">
        <v>48</v>
      </c>
      <c r="D4" s="18" t="s">
        <v>38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8">
        <v>15.0</v>
      </c>
    </row>
    <row r="5">
      <c r="A5" s="17" t="s">
        <v>267</v>
      </c>
      <c r="B5" s="14">
        <v>12.0</v>
      </c>
      <c r="C5" s="12" t="s">
        <v>37</v>
      </c>
      <c r="D5" s="18" t="s">
        <v>41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8">
        <v>14.0</v>
      </c>
    </row>
    <row r="6">
      <c r="A6" s="17" t="s">
        <v>268</v>
      </c>
      <c r="B6" s="14">
        <v>10.0</v>
      </c>
      <c r="C6" s="12" t="s">
        <v>37</v>
      </c>
      <c r="D6" s="18" t="s">
        <v>41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8">
        <v>12.0</v>
      </c>
    </row>
    <row r="7">
      <c r="A7" s="17" t="s">
        <v>269</v>
      </c>
      <c r="B7" s="14">
        <v>15.0</v>
      </c>
      <c r="C7" s="12" t="s">
        <v>37</v>
      </c>
      <c r="D7" s="18" t="s">
        <v>66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>
        <v>17.0</v>
      </c>
    </row>
    <row r="8">
      <c r="A8" s="17" t="s">
        <v>270</v>
      </c>
      <c r="B8" s="14">
        <v>10.0</v>
      </c>
      <c r="C8" s="12" t="s">
        <v>37</v>
      </c>
      <c r="D8" s="18" t="s">
        <v>41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8">
        <v>12.0</v>
      </c>
    </row>
    <row r="9">
      <c r="A9" s="17" t="s">
        <v>271</v>
      </c>
      <c r="B9" s="14">
        <v>12.0</v>
      </c>
      <c r="C9" s="12" t="s">
        <v>37</v>
      </c>
      <c r="D9" s="18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8">
        <v>14.0</v>
      </c>
    </row>
    <row r="10">
      <c r="A10" s="17" t="s">
        <v>272</v>
      </c>
      <c r="B10" s="14">
        <v>15.0</v>
      </c>
      <c r="C10" s="12" t="s">
        <v>37</v>
      </c>
      <c r="D10" s="18" t="s">
        <v>41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8">
        <v>15.0</v>
      </c>
    </row>
    <row r="11">
      <c r="A11" s="12" t="s">
        <v>273</v>
      </c>
      <c r="B11" s="14">
        <v>8.0</v>
      </c>
      <c r="C11" s="12" t="s">
        <v>37</v>
      </c>
      <c r="D11" s="18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10.0</v>
      </c>
    </row>
    <row r="12">
      <c r="A12" s="12" t="s">
        <v>274</v>
      </c>
      <c r="B12" s="14">
        <v>10.0</v>
      </c>
      <c r="C12" s="12" t="s">
        <v>37</v>
      </c>
      <c r="D12" s="18" t="s">
        <v>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12.0</v>
      </c>
    </row>
    <row r="13">
      <c r="A13" s="16" t="s">
        <v>275</v>
      </c>
      <c r="B13" s="18">
        <v>15.0</v>
      </c>
      <c r="C13" s="16" t="s">
        <v>48</v>
      </c>
      <c r="D13" s="18" t="s">
        <v>39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15.0</v>
      </c>
    </row>
    <row r="14">
      <c r="A14" s="16" t="s">
        <v>276</v>
      </c>
      <c r="B14" s="18">
        <v>17.0</v>
      </c>
      <c r="C14" s="16" t="s">
        <v>37</v>
      </c>
      <c r="D14" s="18" t="s">
        <v>38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17.0</v>
      </c>
    </row>
    <row r="15">
      <c r="A15" s="12" t="s">
        <v>277</v>
      </c>
      <c r="B15" s="14">
        <v>10.0</v>
      </c>
      <c r="C15" s="12" t="s">
        <v>37</v>
      </c>
      <c r="D15" s="18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12.0</v>
      </c>
    </row>
    <row r="16">
      <c r="A16" s="12" t="s">
        <v>278</v>
      </c>
      <c r="B16" s="14">
        <v>12.0</v>
      </c>
      <c r="C16" s="12" t="s">
        <v>37</v>
      </c>
      <c r="D16" s="18" t="s">
        <v>66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12.0</v>
      </c>
    </row>
    <row r="17">
      <c r="A17" s="17" t="s">
        <v>279</v>
      </c>
      <c r="B17" s="18">
        <v>15.0</v>
      </c>
      <c r="C17" s="12" t="s">
        <v>37</v>
      </c>
      <c r="D17" s="18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15.0</v>
      </c>
    </row>
    <row r="18">
      <c r="A18" s="12" t="s">
        <v>280</v>
      </c>
      <c r="B18" s="18">
        <v>11.0</v>
      </c>
      <c r="C18" s="12" t="s">
        <v>37</v>
      </c>
      <c r="D18" s="18" t="s">
        <v>41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12.0</v>
      </c>
    </row>
    <row r="19" ht="15.0" customHeight="1">
      <c r="A19" s="17" t="s">
        <v>281</v>
      </c>
      <c r="B19" s="14">
        <v>10.0</v>
      </c>
      <c r="C19" s="12" t="s">
        <v>37</v>
      </c>
      <c r="D19" s="18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12.0</v>
      </c>
    </row>
    <row r="20">
      <c r="A20" s="16" t="s">
        <v>282</v>
      </c>
      <c r="B20" s="14">
        <v>5.0</v>
      </c>
      <c r="C20" s="12" t="s">
        <v>37</v>
      </c>
      <c r="D20" s="18" t="s">
        <v>41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6.0</v>
      </c>
    </row>
    <row r="21" ht="15.0" customHeight="1">
      <c r="A21" s="17" t="s">
        <v>283</v>
      </c>
      <c r="B21" s="14">
        <v>10.0</v>
      </c>
      <c r="C21" s="12" t="s">
        <v>37</v>
      </c>
      <c r="D21" s="18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12.0</v>
      </c>
    </row>
    <row r="22">
      <c r="A22" s="17" t="s">
        <v>284</v>
      </c>
      <c r="B22" s="14">
        <v>12.0</v>
      </c>
      <c r="C22" s="12" t="s">
        <v>37</v>
      </c>
      <c r="D22" s="18" t="s">
        <v>41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14.0</v>
      </c>
    </row>
    <row r="23">
      <c r="A23" s="17" t="s">
        <v>285</v>
      </c>
      <c r="B23" s="14">
        <v>14.0</v>
      </c>
      <c r="C23" s="12" t="s">
        <v>37</v>
      </c>
      <c r="D23" s="18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16.0</v>
      </c>
    </row>
    <row r="24">
      <c r="A24" s="12" t="s">
        <v>286</v>
      </c>
      <c r="B24" s="14">
        <v>12.0</v>
      </c>
      <c r="C24" s="12" t="s">
        <v>37</v>
      </c>
      <c r="D24" s="18" t="s">
        <v>38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12.0</v>
      </c>
    </row>
    <row r="25">
      <c r="A25" s="12" t="s">
        <v>286</v>
      </c>
      <c r="B25" s="14">
        <v>12.0</v>
      </c>
      <c r="C25" s="12" t="s">
        <v>37</v>
      </c>
      <c r="D25" s="18" t="s">
        <v>38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12.0</v>
      </c>
    </row>
    <row r="26">
      <c r="A26" s="17" t="s">
        <v>287</v>
      </c>
      <c r="B26" s="14">
        <v>20.0</v>
      </c>
      <c r="C26" s="12" t="s">
        <v>37</v>
      </c>
      <c r="D26" s="18" t="s">
        <v>41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20.0</v>
      </c>
    </row>
    <row r="27">
      <c r="A27" s="12" t="s">
        <v>288</v>
      </c>
      <c r="B27" s="14">
        <v>12.0</v>
      </c>
      <c r="C27" s="12" t="s">
        <v>37</v>
      </c>
      <c r="D27" s="18" t="s">
        <v>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">
        <v>12.0</v>
      </c>
    </row>
    <row r="28">
      <c r="A28" s="12" t="s">
        <v>289</v>
      </c>
      <c r="B28" s="18">
        <v>10.0</v>
      </c>
      <c r="C28" s="12" t="s">
        <v>37</v>
      </c>
      <c r="D28" s="18" t="s">
        <v>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">
        <v>10.0</v>
      </c>
    </row>
    <row r="29">
      <c r="A29" s="12" t="s">
        <v>290</v>
      </c>
      <c r="B29" s="14">
        <v>12.0</v>
      </c>
      <c r="C29" s="12" t="s">
        <v>37</v>
      </c>
      <c r="D29" s="18" t="s">
        <v>39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">
        <v>14.0</v>
      </c>
    </row>
    <row r="30">
      <c r="A30" s="12" t="s">
        <v>291</v>
      </c>
      <c r="B30" s="14">
        <v>15.0</v>
      </c>
      <c r="C30" s="12" t="s">
        <v>37</v>
      </c>
      <c r="D30" s="18" t="s">
        <v>39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">
        <v>17.0</v>
      </c>
    </row>
    <row r="31">
      <c r="A31" s="12" t="s">
        <v>292</v>
      </c>
      <c r="B31" s="14">
        <v>12.0</v>
      </c>
      <c r="C31" s="12" t="s">
        <v>48</v>
      </c>
      <c r="D31" s="18" t="s">
        <v>38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8">
        <v>14.0</v>
      </c>
    </row>
    <row r="32">
      <c r="A32" s="12" t="s">
        <v>293</v>
      </c>
      <c r="B32" s="14">
        <v>12.0</v>
      </c>
      <c r="C32" s="12" t="s">
        <v>37</v>
      </c>
      <c r="D32" s="18" t="s">
        <v>41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8">
        <v>14.0</v>
      </c>
    </row>
    <row r="33">
      <c r="A33" s="12" t="s">
        <v>294</v>
      </c>
      <c r="B33" s="14">
        <v>15.0</v>
      </c>
      <c r="C33" s="12" t="s">
        <v>37</v>
      </c>
      <c r="D33" s="18" t="s">
        <v>39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8">
        <v>15.0</v>
      </c>
    </row>
    <row r="34">
      <c r="A34" s="12" t="s">
        <v>295</v>
      </c>
      <c r="B34" s="14">
        <v>8.0</v>
      </c>
      <c r="C34" s="12" t="s">
        <v>37</v>
      </c>
      <c r="D34" s="18" t="s">
        <v>41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8">
        <v>10.0</v>
      </c>
    </row>
    <row r="35">
      <c r="A35" s="12" t="s">
        <v>296</v>
      </c>
      <c r="B35" s="14">
        <v>10.0</v>
      </c>
      <c r="C35" s="12" t="s">
        <v>37</v>
      </c>
      <c r="D35" s="18" t="s">
        <v>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8">
        <v>12.0</v>
      </c>
    </row>
    <row r="36">
      <c r="A36" s="12" t="s">
        <v>297</v>
      </c>
      <c r="B36" s="14">
        <v>10.0</v>
      </c>
      <c r="C36" s="12" t="s">
        <v>37</v>
      </c>
      <c r="D36" s="18" t="s">
        <v>41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8">
        <v>12.0</v>
      </c>
    </row>
    <row r="37">
      <c r="A37" s="12" t="s">
        <v>298</v>
      </c>
      <c r="B37" s="14">
        <v>8.0</v>
      </c>
      <c r="C37" s="12" t="s">
        <v>37</v>
      </c>
      <c r="D37" s="18" t="s">
        <v>41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8">
        <v>10.0</v>
      </c>
    </row>
    <row r="38">
      <c r="A38" s="12" t="s">
        <v>299</v>
      </c>
      <c r="B38" s="14">
        <v>12.0</v>
      </c>
      <c r="C38" s="12" t="s">
        <v>37</v>
      </c>
      <c r="D38" s="18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8">
        <v>13.0</v>
      </c>
    </row>
    <row r="39">
      <c r="A39" s="12" t="s">
        <v>300</v>
      </c>
      <c r="B39" s="14">
        <v>10.0</v>
      </c>
      <c r="C39" s="12" t="s">
        <v>37</v>
      </c>
      <c r="D39" s="18" t="s">
        <v>41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8">
        <v>12.0</v>
      </c>
    </row>
    <row r="40">
      <c r="A40" s="12" t="s">
        <v>301</v>
      </c>
      <c r="B40" s="14">
        <v>10.0</v>
      </c>
      <c r="C40" s="12" t="s">
        <v>37</v>
      </c>
      <c r="D40" s="18" t="s">
        <v>41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8">
        <v>12.0</v>
      </c>
    </row>
    <row r="41">
      <c r="A41" s="12" t="s">
        <v>302</v>
      </c>
      <c r="B41" s="14">
        <v>10.0</v>
      </c>
      <c r="C41" s="12" t="s">
        <v>37</v>
      </c>
      <c r="D41" s="18" t="s">
        <v>41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8">
        <v>10.0</v>
      </c>
    </row>
    <row r="42">
      <c r="A42" s="12" t="s">
        <v>303</v>
      </c>
      <c r="B42" s="14">
        <v>14.0</v>
      </c>
      <c r="C42" s="12" t="s">
        <v>37</v>
      </c>
      <c r="D42" s="18" t="s">
        <v>39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8">
        <v>14.0</v>
      </c>
    </row>
    <row r="43">
      <c r="A43" s="12" t="s">
        <v>304</v>
      </c>
      <c r="B43" s="14">
        <v>12.0</v>
      </c>
      <c r="C43" s="12" t="s">
        <v>37</v>
      </c>
      <c r="D43" s="18" t="s">
        <v>41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8">
        <v>14.0</v>
      </c>
    </row>
    <row r="44">
      <c r="A44" s="12" t="s">
        <v>305</v>
      </c>
      <c r="B44" s="14">
        <v>15.0</v>
      </c>
      <c r="C44" s="12" t="s">
        <v>37</v>
      </c>
      <c r="D44" s="18" t="s">
        <v>41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8">
        <v>17.0</v>
      </c>
    </row>
    <row r="45">
      <c r="A45" s="12" t="s">
        <v>306</v>
      </c>
      <c r="B45" s="14">
        <v>12.0</v>
      </c>
      <c r="C45" s="12" t="s">
        <v>37</v>
      </c>
      <c r="D45" s="18" t="s">
        <v>41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8">
        <v>14.0</v>
      </c>
    </row>
    <row r="46">
      <c r="A46" s="12" t="s">
        <v>307</v>
      </c>
      <c r="B46" s="14">
        <v>15.0</v>
      </c>
      <c r="C46" s="12" t="s">
        <v>37</v>
      </c>
      <c r="D46" s="18" t="s">
        <v>41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8">
        <v>17.0</v>
      </c>
    </row>
    <row r="47">
      <c r="A47" s="2" t="s">
        <v>308</v>
      </c>
      <c r="B47" s="30">
        <v>15.0</v>
      </c>
      <c r="C47" s="2" t="s">
        <v>37</v>
      </c>
      <c r="D47" s="18" t="s">
        <v>41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8">
        <v>15.0</v>
      </c>
    </row>
    <row r="48">
      <c r="Q48" s="20"/>
    </row>
    <row r="49">
      <c r="Q49" s="20"/>
    </row>
    <row r="50">
      <c r="B50" s="21">
        <f>SUM(B2:B46)</f>
        <v>538</v>
      </c>
      <c r="Q50" s="20">
        <f>SUM(Q2:Q47)</f>
        <v>610</v>
      </c>
    </row>
  </sheetData>
  <dataValidations>
    <dataValidation type="list" allowBlank="1" showErrorMessage="1" sqref="D2:P47">
      <formula1>"skipped,paid,owing,fronts"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4" max="4" width="5.5"/>
    <col customWidth="1" min="5" max="5" width="5.38"/>
    <col customWidth="1" min="6" max="6" width="4.63"/>
    <col customWidth="1" min="7" max="7" width="5.63"/>
    <col customWidth="1" min="8" max="9" width="4.63"/>
    <col customWidth="1" min="10" max="10" width="5.38"/>
    <col customWidth="1" min="11" max="11" width="6.5"/>
    <col customWidth="1" min="12" max="12" width="5.13"/>
    <col customWidth="1" min="13" max="13" width="6.13"/>
    <col customWidth="1" min="14" max="14" width="4.88"/>
    <col customWidth="1" min="15" max="15" width="5.5"/>
    <col customWidth="1" min="16" max="16" width="6.13"/>
    <col customWidth="1" min="17" max="17" width="20.63"/>
  </cols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8" t="s">
        <v>20</v>
      </c>
    </row>
    <row r="2">
      <c r="A2" s="12" t="s">
        <v>309</v>
      </c>
      <c r="B2" s="14">
        <v>10.0</v>
      </c>
      <c r="C2" s="12" t="s">
        <v>37</v>
      </c>
      <c r="D2" s="18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8">
        <v>12.0</v>
      </c>
    </row>
    <row r="3">
      <c r="A3" s="16" t="s">
        <v>310</v>
      </c>
      <c r="B3" s="18">
        <v>10.0</v>
      </c>
      <c r="C3" s="16" t="s">
        <v>37</v>
      </c>
      <c r="D3" s="18" t="s">
        <v>38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>
        <v>10.0</v>
      </c>
    </row>
    <row r="4">
      <c r="A4" s="12" t="s">
        <v>311</v>
      </c>
      <c r="B4" s="14">
        <v>10.0</v>
      </c>
      <c r="C4" s="12" t="s">
        <v>37</v>
      </c>
      <c r="D4" s="18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8">
        <v>12.0</v>
      </c>
    </row>
    <row r="5">
      <c r="A5" s="12" t="s">
        <v>312</v>
      </c>
      <c r="B5" s="14">
        <v>10.0</v>
      </c>
      <c r="C5" s="12" t="s">
        <v>37</v>
      </c>
      <c r="D5" s="18" t="s">
        <v>41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8">
        <v>10.0</v>
      </c>
    </row>
    <row r="6">
      <c r="A6" s="12" t="s">
        <v>313</v>
      </c>
      <c r="B6" s="14">
        <v>8.0</v>
      </c>
      <c r="C6" s="12" t="s">
        <v>37</v>
      </c>
      <c r="D6" s="18" t="s">
        <v>41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8">
        <v>10.0</v>
      </c>
    </row>
    <row r="7">
      <c r="A7" s="12" t="s">
        <v>314</v>
      </c>
      <c r="B7" s="14">
        <v>8.0</v>
      </c>
      <c r="C7" s="12" t="s">
        <v>37</v>
      </c>
      <c r="D7" s="18" t="s">
        <v>41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>
        <v>10.0</v>
      </c>
    </row>
    <row r="8">
      <c r="A8" s="12" t="s">
        <v>315</v>
      </c>
      <c r="B8" s="14">
        <v>8.0</v>
      </c>
      <c r="C8" s="12" t="s">
        <v>37</v>
      </c>
      <c r="D8" s="18" t="s">
        <v>41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8">
        <v>10.0</v>
      </c>
    </row>
    <row r="9">
      <c r="A9" s="12" t="s">
        <v>316</v>
      </c>
      <c r="B9" s="14">
        <v>10.0</v>
      </c>
      <c r="C9" s="12" t="s">
        <v>37</v>
      </c>
      <c r="D9" s="18" t="s">
        <v>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8">
        <v>10.0</v>
      </c>
    </row>
    <row r="10">
      <c r="A10" s="12" t="s">
        <v>317</v>
      </c>
      <c r="B10" s="14">
        <v>10.0</v>
      </c>
      <c r="C10" s="12" t="s">
        <v>37</v>
      </c>
      <c r="D10" s="18" t="s">
        <v>39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8">
        <v>10.0</v>
      </c>
    </row>
    <row r="11">
      <c r="A11" s="12" t="s">
        <v>318</v>
      </c>
      <c r="B11" s="14">
        <v>10.0</v>
      </c>
      <c r="C11" s="12" t="s">
        <v>37</v>
      </c>
      <c r="D11" s="18" t="s">
        <v>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8">
        <v>10.0</v>
      </c>
    </row>
    <row r="12">
      <c r="A12" s="12" t="s">
        <v>319</v>
      </c>
      <c r="B12" s="14">
        <v>6.0</v>
      </c>
      <c r="C12" s="12" t="s">
        <v>37</v>
      </c>
      <c r="D12" s="18" t="s">
        <v>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8">
        <v>8.0</v>
      </c>
    </row>
    <row r="13">
      <c r="A13" s="12" t="s">
        <v>320</v>
      </c>
      <c r="B13" s="14">
        <v>6.0</v>
      </c>
      <c r="C13" s="12" t="s">
        <v>37</v>
      </c>
      <c r="D13" s="18" t="s">
        <v>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8">
        <v>8.0</v>
      </c>
    </row>
    <row r="14">
      <c r="A14" s="12" t="s">
        <v>321</v>
      </c>
      <c r="B14" s="18">
        <v>15.0</v>
      </c>
      <c r="C14" s="12" t="s">
        <v>37</v>
      </c>
      <c r="D14" s="18" t="s">
        <v>41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8">
        <v>15.0</v>
      </c>
    </row>
    <row r="15">
      <c r="A15" s="12" t="s">
        <v>322</v>
      </c>
      <c r="B15" s="18">
        <v>12.0</v>
      </c>
      <c r="C15" s="12" t="s">
        <v>37</v>
      </c>
      <c r="D15" s="18" t="s">
        <v>41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8">
        <v>14.0</v>
      </c>
    </row>
    <row r="16">
      <c r="A16" s="12" t="s">
        <v>323</v>
      </c>
      <c r="B16" s="14">
        <v>10.0</v>
      </c>
      <c r="C16" s="12" t="s">
        <v>37</v>
      </c>
      <c r="D16" s="18" t="s">
        <v>41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8">
        <v>10.0</v>
      </c>
    </row>
    <row r="17">
      <c r="A17" s="12" t="s">
        <v>324</v>
      </c>
      <c r="B17" s="14">
        <v>6.0</v>
      </c>
      <c r="C17" s="12" t="s">
        <v>37</v>
      </c>
      <c r="D17" s="18" t="s">
        <v>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8">
        <v>8.0</v>
      </c>
    </row>
    <row r="18">
      <c r="A18" s="12" t="s">
        <v>325</v>
      </c>
      <c r="B18" s="14">
        <v>15.0</v>
      </c>
      <c r="C18" s="12" t="s">
        <v>37</v>
      </c>
      <c r="D18" s="18" t="s">
        <v>41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8">
        <v>15.0</v>
      </c>
    </row>
    <row r="19">
      <c r="A19" s="12" t="s">
        <v>326</v>
      </c>
      <c r="B19" s="18">
        <v>14.0</v>
      </c>
      <c r="C19" s="12" t="s">
        <v>37</v>
      </c>
      <c r="D19" s="18" t="s">
        <v>41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8">
        <v>15.0</v>
      </c>
    </row>
    <row r="20">
      <c r="A20" s="12" t="s">
        <v>327</v>
      </c>
      <c r="B20" s="14">
        <v>5.0</v>
      </c>
      <c r="C20" s="12" t="s">
        <v>37</v>
      </c>
      <c r="D20" s="18" t="s">
        <v>38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8">
        <v>6.0</v>
      </c>
    </row>
    <row r="21">
      <c r="A21" s="12" t="s">
        <v>328</v>
      </c>
      <c r="B21" s="14">
        <v>17.0</v>
      </c>
      <c r="C21" s="12" t="s">
        <v>37</v>
      </c>
      <c r="D21" s="18" t="s">
        <v>41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8">
        <v>17.0</v>
      </c>
    </row>
    <row r="22">
      <c r="A22" s="12" t="s">
        <v>329</v>
      </c>
      <c r="B22" s="14">
        <v>10.0</v>
      </c>
      <c r="C22" s="12" t="s">
        <v>37</v>
      </c>
      <c r="D22" s="18" t="s">
        <v>41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8">
        <v>10.0</v>
      </c>
    </row>
    <row r="23">
      <c r="A23" s="12" t="s">
        <v>330</v>
      </c>
      <c r="B23" s="14">
        <v>10.0</v>
      </c>
      <c r="C23" s="12" t="s">
        <v>37</v>
      </c>
      <c r="D23" s="18" t="s">
        <v>41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8">
        <v>10.0</v>
      </c>
    </row>
    <row r="24">
      <c r="A24" s="16" t="s">
        <v>331</v>
      </c>
      <c r="B24" s="18">
        <v>10.0</v>
      </c>
      <c r="C24" s="16" t="s">
        <v>37</v>
      </c>
      <c r="D24" s="18" t="s">
        <v>41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8">
        <v>10.0</v>
      </c>
    </row>
    <row r="25">
      <c r="A25" s="12" t="s">
        <v>332</v>
      </c>
      <c r="B25" s="14">
        <v>8.0</v>
      </c>
      <c r="C25" s="12" t="s">
        <v>37</v>
      </c>
      <c r="D25" s="18" t="s">
        <v>41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8">
        <v>10.0</v>
      </c>
    </row>
    <row r="26">
      <c r="A26" s="12" t="s">
        <v>333</v>
      </c>
      <c r="B26" s="14">
        <v>8.0</v>
      </c>
      <c r="C26" s="12" t="s">
        <v>37</v>
      </c>
      <c r="D26" s="18" t="s">
        <v>41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8">
        <v>10.0</v>
      </c>
    </row>
    <row r="27">
      <c r="A27" s="12" t="s">
        <v>334</v>
      </c>
      <c r="B27" s="14">
        <v>8.0</v>
      </c>
      <c r="C27" s="12" t="s">
        <v>37</v>
      </c>
      <c r="D27" s="18" t="s">
        <v>39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8">
        <v>10.0</v>
      </c>
    </row>
    <row r="28">
      <c r="A28" s="12" t="s">
        <v>335</v>
      </c>
      <c r="B28" s="14">
        <v>10.0</v>
      </c>
      <c r="C28" s="12" t="s">
        <v>37</v>
      </c>
      <c r="D28" s="18" t="s">
        <v>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8">
        <v>10.0</v>
      </c>
    </row>
    <row r="29">
      <c r="A29" s="12" t="s">
        <v>336</v>
      </c>
      <c r="B29" s="14">
        <v>15.0</v>
      </c>
      <c r="C29" s="12" t="s">
        <v>37</v>
      </c>
      <c r="D29" s="18" t="s">
        <v>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8">
        <v>17.0</v>
      </c>
    </row>
    <row r="30">
      <c r="A30" s="12" t="s">
        <v>337</v>
      </c>
      <c r="B30" s="14">
        <v>11.0</v>
      </c>
      <c r="C30" s="12" t="s">
        <v>37</v>
      </c>
      <c r="D30" s="18" t="s">
        <v>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8">
        <v>13.0</v>
      </c>
    </row>
    <row r="31">
      <c r="A31" s="12" t="s">
        <v>338</v>
      </c>
      <c r="B31" s="14">
        <v>12.0</v>
      </c>
      <c r="C31" s="12" t="s">
        <v>37</v>
      </c>
      <c r="D31" s="18" t="s">
        <v>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8">
        <v>14.0</v>
      </c>
    </row>
    <row r="32">
      <c r="A32" s="12" t="s">
        <v>339</v>
      </c>
      <c r="B32" s="14">
        <v>15.0</v>
      </c>
      <c r="C32" s="12" t="s">
        <v>37</v>
      </c>
      <c r="D32" s="18" t="s">
        <v>41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8">
        <v>17.0</v>
      </c>
    </row>
    <row r="33">
      <c r="A33" s="12" t="s">
        <v>340</v>
      </c>
      <c r="B33" s="14">
        <v>12.0</v>
      </c>
      <c r="C33" s="12" t="s">
        <v>37</v>
      </c>
      <c r="D33" s="18" t="s">
        <v>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8">
        <v>12.0</v>
      </c>
    </row>
    <row r="34">
      <c r="A34" s="12" t="s">
        <v>341</v>
      </c>
      <c r="B34" s="14">
        <v>12.0</v>
      </c>
      <c r="C34" s="12" t="s">
        <v>37</v>
      </c>
      <c r="D34" s="18" t="s">
        <v>38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8">
        <v>14.0</v>
      </c>
    </row>
    <row r="35">
      <c r="A35" s="12" t="s">
        <v>342</v>
      </c>
      <c r="B35" s="14">
        <v>8.0</v>
      </c>
      <c r="C35" s="12" t="s">
        <v>37</v>
      </c>
      <c r="D35" s="18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8">
        <v>10.0</v>
      </c>
    </row>
    <row r="36">
      <c r="A36" s="12" t="s">
        <v>343</v>
      </c>
      <c r="B36" s="14">
        <v>12.0</v>
      </c>
      <c r="C36" s="12" t="s">
        <v>37</v>
      </c>
      <c r="D36" s="18" t="s">
        <v>38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8">
        <v>8.0</v>
      </c>
    </row>
    <row r="37">
      <c r="A37" s="12" t="s">
        <v>344</v>
      </c>
      <c r="B37" s="14">
        <v>10.0</v>
      </c>
      <c r="C37" s="12" t="s">
        <v>37</v>
      </c>
      <c r="D37" s="18" t="s">
        <v>41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8">
        <v>12.0</v>
      </c>
    </row>
    <row r="38">
      <c r="A38" s="12" t="s">
        <v>345</v>
      </c>
      <c r="B38" s="18">
        <v>12.0</v>
      </c>
      <c r="C38" s="12" t="s">
        <v>37</v>
      </c>
      <c r="D38" s="18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8">
        <v>12.0</v>
      </c>
    </row>
    <row r="39">
      <c r="A39" s="17" t="s">
        <v>346</v>
      </c>
      <c r="B39" s="14">
        <v>10.0</v>
      </c>
      <c r="C39" s="12" t="s">
        <v>37</v>
      </c>
      <c r="D39" s="18" t="s">
        <v>41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8">
        <v>12.0</v>
      </c>
    </row>
    <row r="40">
      <c r="A40" s="16" t="s">
        <v>347</v>
      </c>
      <c r="B40" s="18">
        <v>15.0</v>
      </c>
      <c r="C40" s="16" t="s">
        <v>37</v>
      </c>
      <c r="D40" s="18" t="s">
        <v>41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8">
        <v>15.0</v>
      </c>
    </row>
    <row r="41">
      <c r="A41" s="16" t="s">
        <v>348</v>
      </c>
      <c r="B41" s="18">
        <v>20.0</v>
      </c>
      <c r="C41" s="16" t="s">
        <v>37</v>
      </c>
      <c r="D41" s="18" t="s">
        <v>41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8">
        <v>20.0</v>
      </c>
    </row>
    <row r="42">
      <c r="A42" s="16" t="s">
        <v>349</v>
      </c>
      <c r="B42" s="18">
        <v>12.0</v>
      </c>
      <c r="C42" s="12" t="s">
        <v>37</v>
      </c>
      <c r="D42" s="18" t="s">
        <v>41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8">
        <v>12.0</v>
      </c>
    </row>
    <row r="43">
      <c r="A43" s="16" t="s">
        <v>350</v>
      </c>
      <c r="B43" s="18">
        <v>12.0</v>
      </c>
      <c r="C43" s="16" t="s">
        <v>37</v>
      </c>
      <c r="D43" s="18" t="s">
        <v>41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8">
        <v>12.0</v>
      </c>
    </row>
    <row r="44">
      <c r="A44" s="12" t="s">
        <v>351</v>
      </c>
      <c r="B44" s="14">
        <v>12.0</v>
      </c>
      <c r="C44" s="12" t="s">
        <v>37</v>
      </c>
      <c r="D44" s="18" t="s">
        <v>41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8">
        <v>12.0</v>
      </c>
    </row>
    <row r="45">
      <c r="A45" s="16" t="s">
        <v>352</v>
      </c>
      <c r="B45" s="33">
        <v>12.0</v>
      </c>
      <c r="C45" s="2" t="s">
        <v>37</v>
      </c>
      <c r="D45" s="18" t="s">
        <v>41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8">
        <v>12.0</v>
      </c>
    </row>
    <row r="46">
      <c r="A46" s="17" t="s">
        <v>353</v>
      </c>
      <c r="B46" s="14">
        <v>12.0</v>
      </c>
      <c r="C46" s="17" t="s">
        <v>37</v>
      </c>
      <c r="D46" s="18" t="s">
        <v>41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8">
        <v>12.0</v>
      </c>
    </row>
    <row r="47">
      <c r="A47" s="17" t="s">
        <v>354</v>
      </c>
      <c r="B47" s="14">
        <v>15.0</v>
      </c>
      <c r="C47" s="17" t="s">
        <v>37</v>
      </c>
      <c r="D47" s="18" t="s">
        <v>41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8">
        <v>15.0</v>
      </c>
    </row>
    <row r="48">
      <c r="A48" s="17" t="s">
        <v>355</v>
      </c>
      <c r="B48" s="14">
        <v>10.0</v>
      </c>
      <c r="C48" s="17" t="s">
        <v>37</v>
      </c>
      <c r="D48" s="18" t="s">
        <v>41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8">
        <v>10.0</v>
      </c>
    </row>
    <row r="49">
      <c r="A49" s="12"/>
      <c r="B49" s="24"/>
      <c r="Q49" s="20"/>
    </row>
    <row r="50">
      <c r="A50" s="12"/>
      <c r="B50" s="14">
        <f>SUM(B2:B48)</f>
        <v>513</v>
      </c>
      <c r="Q50" s="20"/>
    </row>
    <row r="51">
      <c r="A51" s="12"/>
      <c r="B51" s="24"/>
      <c r="Q51" s="20">
        <f>SUM(Q2:Q50)</f>
        <v>551</v>
      </c>
    </row>
    <row r="52">
      <c r="A52" s="12"/>
      <c r="B52" s="24"/>
    </row>
    <row r="53">
      <c r="A53" s="12"/>
      <c r="B53" s="24"/>
    </row>
    <row r="54">
      <c r="A54" s="12"/>
      <c r="B54" s="24"/>
    </row>
    <row r="55">
      <c r="A55" s="12"/>
      <c r="B55" s="24"/>
    </row>
    <row r="56">
      <c r="A56" s="12"/>
      <c r="B56" s="24"/>
    </row>
    <row r="57">
      <c r="A57" s="12"/>
      <c r="B57" s="24"/>
    </row>
  </sheetData>
  <dataValidations>
    <dataValidation type="list" allowBlank="1" showErrorMessage="1" sqref="D2:P48">
      <formula1>"skipped,paid,owing,0"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21</v>
      </c>
      <c r="B1" s="1" t="s">
        <v>22</v>
      </c>
      <c r="C1" s="1" t="s">
        <v>23</v>
      </c>
      <c r="D1" s="9">
        <v>45650.0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>
      <c r="A2" s="16" t="s">
        <v>356</v>
      </c>
      <c r="B2" s="18">
        <v>10.0</v>
      </c>
      <c r="C2" s="16" t="s">
        <v>37</v>
      </c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>
      <c r="A3" s="16" t="s">
        <v>357</v>
      </c>
      <c r="B3" s="18">
        <v>15.0</v>
      </c>
      <c r="C3" s="16" t="s">
        <v>37</v>
      </c>
      <c r="D3" s="18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>
      <c r="A4" s="16" t="s">
        <v>358</v>
      </c>
      <c r="B4" s="18">
        <v>10.0</v>
      </c>
      <c r="C4" s="16" t="s">
        <v>37</v>
      </c>
      <c r="D4" s="18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>
      <c r="A5" s="16" t="s">
        <v>359</v>
      </c>
      <c r="B5" s="18">
        <v>10.0</v>
      </c>
      <c r="C5" s="16" t="s">
        <v>37</v>
      </c>
      <c r="D5" s="18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>
      <c r="A6" s="16" t="s">
        <v>360</v>
      </c>
      <c r="B6" s="18">
        <v>10.0</v>
      </c>
      <c r="C6" s="16" t="s">
        <v>37</v>
      </c>
      <c r="D6" s="18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>
      <c r="A7" s="16" t="s">
        <v>361</v>
      </c>
      <c r="B7" s="18">
        <v>10.0</v>
      </c>
      <c r="C7" s="16" t="s">
        <v>37</v>
      </c>
      <c r="D7" s="1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>
      <c r="A8" s="16" t="s">
        <v>362</v>
      </c>
      <c r="B8" s="18">
        <v>10.0</v>
      </c>
      <c r="C8" s="16" t="s">
        <v>37</v>
      </c>
      <c r="D8" s="1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>
      <c r="A9" s="16" t="s">
        <v>363</v>
      </c>
      <c r="B9" s="18">
        <v>10.0</v>
      </c>
      <c r="C9" s="16" t="s">
        <v>37</v>
      </c>
      <c r="D9" s="18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>
      <c r="A10" s="16" t="s">
        <v>364</v>
      </c>
      <c r="B10" s="18">
        <v>10.0</v>
      </c>
      <c r="C10" s="16" t="s">
        <v>37</v>
      </c>
      <c r="D10" s="1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>
      <c r="A11" s="16" t="s">
        <v>365</v>
      </c>
      <c r="B11" s="18">
        <v>15.0</v>
      </c>
      <c r="C11" s="16" t="s">
        <v>37</v>
      </c>
      <c r="D11" s="1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>
      <c r="A12" s="16" t="s">
        <v>366</v>
      </c>
      <c r="B12" s="18">
        <v>10.0</v>
      </c>
      <c r="C12" s="16" t="s">
        <v>37</v>
      </c>
      <c r="D12" s="18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>
      <c r="A13" s="16" t="s">
        <v>367</v>
      </c>
      <c r="B13" s="18">
        <v>10.0</v>
      </c>
      <c r="C13" s="16" t="s">
        <v>37</v>
      </c>
      <c r="D13" s="18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>
      <c r="A14" s="34" t="s">
        <v>368</v>
      </c>
      <c r="B14" s="18">
        <v>10.0</v>
      </c>
      <c r="C14" s="16" t="s">
        <v>37</v>
      </c>
      <c r="D14" s="18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>
      <c r="A15" s="16" t="s">
        <v>369</v>
      </c>
      <c r="B15" s="18">
        <v>10.0</v>
      </c>
      <c r="C15" s="16" t="s">
        <v>37</v>
      </c>
      <c r="D15" s="18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>
      <c r="A16" s="16" t="s">
        <v>370</v>
      </c>
      <c r="B16" s="18">
        <v>10.0</v>
      </c>
      <c r="C16" s="16" t="s">
        <v>37</v>
      </c>
      <c r="D16" s="18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>
      <c r="A17" s="16" t="s">
        <v>371</v>
      </c>
      <c r="B17" s="18">
        <v>10.0</v>
      </c>
      <c r="C17" s="16" t="s">
        <v>37</v>
      </c>
      <c r="D17" s="18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>
      <c r="A18" s="16" t="s">
        <v>372</v>
      </c>
      <c r="B18" s="18">
        <v>10.0</v>
      </c>
      <c r="C18" s="16" t="s">
        <v>37</v>
      </c>
      <c r="D18" s="18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16" t="s">
        <v>373</v>
      </c>
      <c r="B19" s="18">
        <v>10.0</v>
      </c>
      <c r="C19" s="16" t="s">
        <v>37</v>
      </c>
      <c r="D19" s="18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16" t="s">
        <v>374</v>
      </c>
      <c r="B20" s="18">
        <v>10.0</v>
      </c>
      <c r="C20" s="16" t="s">
        <v>37</v>
      </c>
      <c r="D20" s="18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>
      <c r="A21" s="17"/>
      <c r="B21" s="18"/>
      <c r="C21" s="16" t="s">
        <v>37</v>
      </c>
      <c r="D21" s="18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16" t="s">
        <v>375</v>
      </c>
      <c r="B22" s="18">
        <v>10.0</v>
      </c>
      <c r="C22" s="16" t="s">
        <v>37</v>
      </c>
      <c r="D22" s="18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>
      <c r="A23" s="16" t="s">
        <v>376</v>
      </c>
      <c r="B23" s="18">
        <v>10.0</v>
      </c>
      <c r="C23" s="16" t="s">
        <v>37</v>
      </c>
      <c r="D23" s="18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>
      <c r="A24" s="12"/>
      <c r="B24" s="14"/>
      <c r="C24" s="16"/>
      <c r="D24" s="18"/>
    </row>
    <row r="25">
      <c r="A25" s="12"/>
      <c r="B25" s="14"/>
      <c r="C25" s="16"/>
      <c r="D25" s="18"/>
    </row>
    <row r="26">
      <c r="A26" s="17"/>
      <c r="B26" s="14">
        <f>sum(B2:B23)</f>
        <v>220</v>
      </c>
      <c r="C26" s="16"/>
      <c r="D26" s="18"/>
    </row>
    <row r="27">
      <c r="A27" s="12"/>
      <c r="B27" s="14"/>
      <c r="C27" s="16"/>
      <c r="D27" s="18"/>
    </row>
    <row r="28">
      <c r="A28" s="12"/>
      <c r="B28" s="18"/>
      <c r="C28" s="16"/>
      <c r="D28" s="18"/>
    </row>
    <row r="29">
      <c r="A29" s="12"/>
      <c r="B29" s="14"/>
      <c r="C29" s="16"/>
      <c r="D29" s="18"/>
    </row>
    <row r="30">
      <c r="A30" s="12"/>
      <c r="B30" s="14"/>
      <c r="C30" s="16"/>
      <c r="D30" s="18"/>
    </row>
    <row r="31">
      <c r="A31" s="12"/>
      <c r="B31" s="14"/>
      <c r="C31" s="16"/>
      <c r="D31" s="18"/>
    </row>
    <row r="32">
      <c r="A32" s="12"/>
      <c r="B32" s="14"/>
      <c r="C32" s="16"/>
      <c r="D32" s="18"/>
    </row>
    <row r="33">
      <c r="A33" s="12"/>
      <c r="B33" s="14"/>
      <c r="C33" s="16"/>
      <c r="D33" s="18"/>
    </row>
    <row r="34">
      <c r="A34" s="12"/>
      <c r="B34" s="14"/>
      <c r="C34" s="16"/>
      <c r="D34" s="18"/>
    </row>
  </sheetData>
  <dataValidations>
    <dataValidation type="list" allowBlank="1" showErrorMessage="1" sqref="D2:P23">
      <formula1>"skipped,paid,owing,fronts"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377</v>
      </c>
    </row>
    <row r="4">
      <c r="A4" s="2" t="s">
        <v>378</v>
      </c>
    </row>
    <row r="7">
      <c r="A7" s="2" t="s">
        <v>379</v>
      </c>
    </row>
    <row r="11">
      <c r="A11" s="2" t="s">
        <v>380</v>
      </c>
    </row>
    <row r="14">
      <c r="A14" s="2" t="s">
        <v>381</v>
      </c>
    </row>
  </sheetData>
  <drawing r:id="rId1"/>
</worksheet>
</file>